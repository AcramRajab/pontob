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ramrajab/Desktop/"/>
    </mc:Choice>
  </mc:AlternateContent>
  <xr:revisionPtr revIDLastSave="0" documentId="8_{2F38265A-A0D8-E54D-BCCA-5DCAFD9B5B31}" xr6:coauthVersionLast="47" xr6:coauthVersionMax="47" xr10:uidLastSave="{00000000-0000-0000-0000-000000000000}"/>
  <bookViews>
    <workbookView xWindow="0" yWindow="620" windowWidth="25600" windowHeight="13960" xr2:uid="{3026D263-16A9-475A-8BED-C02DD5548073}"/>
  </bookViews>
  <sheets>
    <sheet name="MFR SANTA CATARINA" sheetId="1" r:id="rId1"/>
    <sheet name="Planilh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2" i="1" l="1"/>
  <c r="AB2" i="1" s="1"/>
  <c r="AB21" i="1"/>
  <c r="Y21" i="1"/>
  <c r="X16" i="1"/>
  <c r="AB16" i="1" s="1"/>
  <c r="AB15" i="1"/>
  <c r="Y15" i="1"/>
  <c r="X12" i="1"/>
  <c r="AB12" i="1" s="1"/>
  <c r="Y8" i="1"/>
  <c r="X20" i="1"/>
  <c r="Y20" i="1" s="1"/>
  <c r="X22" i="1"/>
  <c r="AB22" i="1" s="1"/>
  <c r="X23" i="1"/>
  <c r="AB23" i="1" s="1"/>
  <c r="X4" i="1"/>
  <c r="Y4" i="1" s="1"/>
  <c r="AB5" i="1"/>
  <c r="AB19" i="1"/>
  <c r="Y19" i="1"/>
  <c r="Y2" i="1" l="1"/>
  <c r="Y16" i="1"/>
  <c r="Y12" i="1"/>
  <c r="Y22" i="1"/>
  <c r="AB4" i="1"/>
  <c r="Y23" i="1"/>
  <c r="AB20" i="1"/>
  <c r="Y5" i="1"/>
  <c r="X3" i="1"/>
  <c r="X6" i="1"/>
  <c r="X7" i="1"/>
  <c r="X9" i="1"/>
  <c r="X10" i="1"/>
  <c r="X17" i="1"/>
  <c r="X18" i="1"/>
  <c r="X32" i="1" l="1"/>
  <c r="Y9" i="1"/>
  <c r="AB9" i="1"/>
  <c r="Y7" i="1"/>
  <c r="AB7" i="1"/>
  <c r="Y11" i="1"/>
  <c r="AB11" i="1"/>
  <c r="Y3" i="1"/>
  <c r="AB3" i="1"/>
  <c r="X30" i="1"/>
  <c r="Y18" i="1"/>
  <c r="AB18" i="1"/>
  <c r="Y6" i="1"/>
  <c r="AB6" i="1"/>
  <c r="Y17" i="1"/>
  <c r="AB17" i="1"/>
  <c r="Y14" i="1"/>
  <c r="AB14" i="1"/>
  <c r="Y10" i="1"/>
  <c r="AB10" i="1"/>
  <c r="X33" i="1" l="1"/>
  <c r="Z30" i="1" s="1"/>
  <c r="Y30" i="1"/>
</calcChain>
</file>

<file path=xl/sharedStrings.xml><?xml version="1.0" encoding="utf-8"?>
<sst xmlns="http://schemas.openxmlformats.org/spreadsheetml/2006/main" count="231" uniqueCount="199">
  <si>
    <t>RE/MAX ARVOREDO</t>
  </si>
  <si>
    <t>RE/MAX DREAM ON</t>
  </si>
  <si>
    <t>RE/MAX FONTE</t>
  </si>
  <si>
    <t>RE/MAX GOLDEN EAGLE</t>
  </si>
  <si>
    <t>RE/MAX SERRANA</t>
  </si>
  <si>
    <t>RE/MAX INFINITY PRO I</t>
  </si>
  <si>
    <t>RE/MAX VIVALLE I</t>
  </si>
  <si>
    <t>NOTAS EIXO Y</t>
  </si>
  <si>
    <t>RE/MAX CRISTAL</t>
  </si>
  <si>
    <t>RE/MAX DREAM ON II</t>
  </si>
  <si>
    <t>RE/MAX SEA</t>
  </si>
  <si>
    <t>RE/MAX JUST BELIEVE</t>
  </si>
  <si>
    <t>RE.MAX NORTH</t>
  </si>
  <si>
    <t>KPIS</t>
  </si>
  <si>
    <t>RE/MAX VITA</t>
  </si>
  <si>
    <t>Jaqueragnini@remax.com.br</t>
  </si>
  <si>
    <t>ROMULO PAULO DE OLIVEIRA</t>
  </si>
  <si>
    <t>romulopaulo@remax.com.br</t>
  </si>
  <si>
    <t>EDUARDA HICKMANN</t>
  </si>
  <si>
    <t>eduardahickmann@remax.com.br</t>
  </si>
  <si>
    <t>ISABELLE DE MORAES</t>
  </si>
  <si>
    <t>isabellemoraes@remax.com.br</t>
  </si>
  <si>
    <t>Leonardorodrigo@remax.com.br</t>
  </si>
  <si>
    <t xml:space="preserve">LEONARDO RODRIGO DA SILVA </t>
  </si>
  <si>
    <t>ANDRE BISSACOT</t>
  </si>
  <si>
    <t>andrebissacot@remax.com.br</t>
  </si>
  <si>
    <t>47 99280-1610</t>
  </si>
  <si>
    <t>48 99620 0765</t>
  </si>
  <si>
    <t>49 99925 6933</t>
  </si>
  <si>
    <t>47 99224 9506</t>
  </si>
  <si>
    <t>47 98849 4019</t>
  </si>
  <si>
    <t>VANESSA SOUZA</t>
  </si>
  <si>
    <t>49 99999 7923</t>
  </si>
  <si>
    <t>vanessadesouza@remax.com.br</t>
  </si>
  <si>
    <t>RE/MAX LOTE 8</t>
  </si>
  <si>
    <t>BALNEARIO GAIVOTAS</t>
  </si>
  <si>
    <t>BALNEARIO PICARRAS</t>
  </si>
  <si>
    <t>JOACABA</t>
  </si>
  <si>
    <t>LAGES</t>
  </si>
  <si>
    <t>CRICIUMA</t>
  </si>
  <si>
    <t>FORIANOPOLIS - ESTREITO</t>
  </si>
  <si>
    <t>TUBARAO</t>
  </si>
  <si>
    <t>INDAIAL</t>
  </si>
  <si>
    <t>FLORIANOPOLIS - JURERE</t>
  </si>
  <si>
    <t>GOVERNADOR CELSO RAMOS</t>
  </si>
  <si>
    <t>JARAGUA DO SUL</t>
  </si>
  <si>
    <t>CIDADE</t>
  </si>
  <si>
    <t>RE/MAX BRIDGE</t>
  </si>
  <si>
    <t>48 99154-5125</t>
  </si>
  <si>
    <t>raquelkremer@remax.com.br</t>
  </si>
  <si>
    <t>FLORIANOPOLIS - INGLESES</t>
  </si>
  <si>
    <t>RE/MAX SOMA PRIME</t>
  </si>
  <si>
    <t>CRISTIAN CERON</t>
  </si>
  <si>
    <t>cristianceron@remax.com.br</t>
  </si>
  <si>
    <t>55 99166 1450</t>
  </si>
  <si>
    <t>CNPJ</t>
  </si>
  <si>
    <t>PORTO BELO</t>
  </si>
  <si>
    <t>LUISA SALGADO</t>
  </si>
  <si>
    <t>47 99634 9455</t>
  </si>
  <si>
    <t>luisasalgado@remax.com.br</t>
  </si>
  <si>
    <t>46.425.018/0001-36</t>
  </si>
  <si>
    <t>00.384.092/0001-50</t>
  </si>
  <si>
    <t>58.257.708/0001-02</t>
  </si>
  <si>
    <t>81.350.795/0001-60</t>
  </si>
  <si>
    <t>37.304.683/0001-80</t>
  </si>
  <si>
    <t>48.010.825/0001-13</t>
  </si>
  <si>
    <t>41.682.172/0001-70</t>
  </si>
  <si>
    <t>50.379.024/0001-71</t>
  </si>
  <si>
    <t>39.400.772/0001-56</t>
  </si>
  <si>
    <t>46.772.571/0001-45</t>
  </si>
  <si>
    <t>55.817.617/0001-96</t>
  </si>
  <si>
    <t>54.404.278/0001-53</t>
  </si>
  <si>
    <t>45.372.052/0001-27</t>
  </si>
  <si>
    <t>46.793.326/0001-14</t>
  </si>
  <si>
    <t>44.143.505/0001-80</t>
  </si>
  <si>
    <t>28.141.183/0001-84</t>
  </si>
  <si>
    <t>28.970.126/0001-08</t>
  </si>
  <si>
    <t>57.168.117/0001-04</t>
  </si>
  <si>
    <t>ENDEREÇO</t>
  </si>
  <si>
    <t>Av. Patrocínio Manoel dos Santos, 1516 - Palmas, Gov. Celso Ramos - SC, 88190-000</t>
  </si>
  <si>
    <t xml:space="preserve">Rua 13 de Maio, 270 - sala 02, Bairro Czerniewcz, Jaraguá do Sul - SC, 89255-400 </t>
  </si>
  <si>
    <t>Av. Cel. Marcos Konder, 805 - Centro, Itajaí - SC, 88301-303</t>
  </si>
  <si>
    <t>Av. Carlos Drummond de Andrade, 813 - Praia dos Amores, Itajaí - SC, 88331-410</t>
  </si>
  <si>
    <t>Rod. Armando Calil Bulos, 6288 - sala 02 - 2º andar dentro do CDL - Ingleses - Florianópolis - CEP: 88058-001</t>
  </si>
  <si>
    <t>alexandrerodarte@remax.com.br</t>
  </si>
  <si>
    <t>ALEXANDRE RODARTE</t>
  </si>
  <si>
    <t>48 98843-2283</t>
  </si>
  <si>
    <t>Rua Eupidio da Rocha, Nº 78, Casa 01, Campeche – Florianópolis/SC</t>
  </si>
  <si>
    <t>ELVONI JÚNIOR PIAIA</t>
  </si>
  <si>
    <t>epiaia@remax.com.br</t>
  </si>
  <si>
    <t>47 99173-1106</t>
  </si>
  <si>
    <t>R. 282, 100 - Meia Praia, Itapema - SC, 88220-000</t>
  </si>
  <si>
    <t>R. Mal. Floriano Peixoto, 365 - sala 02 - Centro, Indaial - SC, 89130-000</t>
  </si>
  <si>
    <t>Av. Emanuel Pinto, 2169, sala 4, Balneário Piçarras - SC, 88380-000</t>
  </si>
  <si>
    <t>R. São José, 485 - Centro, Criciúma - SC, 88801-520</t>
  </si>
  <si>
    <t>Rua 236, 203 - sala 2 - Meia Praia, Itapema - SC, 88220-000</t>
  </si>
  <si>
    <t>SHEILA MORITZ</t>
  </si>
  <si>
    <t>41 99983 7820</t>
  </si>
  <si>
    <t>sheilamm@remax.com.br</t>
  </si>
  <si>
    <t>Avenida, Av. José Alcebiades Laurentino, n°612 - Centro, Navegantes - SC, 88370-308</t>
  </si>
  <si>
    <t>Rua Honorato Ramos, 152 - Centro, Lages - SC, 88502-035</t>
  </si>
  <si>
    <t>R. Getúlio Vargas, 226 - Centro, Joaçaba - SC, 89600-000</t>
  </si>
  <si>
    <t>Av. Santa Catarina, 635, sala 103, Centro, Balneário Gaivota - SC, 88955-000</t>
  </si>
  <si>
    <t>R. General Liberato Bittencourt, n° 1475, Sala 113, Estreito, Florianópolis/SC, 88075-400</t>
  </si>
  <si>
    <t>Av. Normando Tedesco, 1315 - Barra Sul, Balneário Camboriú - SC, 88330-123</t>
  </si>
  <si>
    <t xml:space="preserve">RE/MAX INVEST COAST </t>
  </si>
  <si>
    <t>RE/MAX DREAM ON III</t>
  </si>
  <si>
    <t>RE/MAX LEGADO</t>
  </si>
  <si>
    <t>FALTA</t>
  </si>
  <si>
    <t>A PAGAR</t>
  </si>
  <si>
    <t>VALOR NO SHOW</t>
  </si>
  <si>
    <t>$</t>
  </si>
  <si>
    <t>PROPORCIONAL</t>
  </si>
  <si>
    <t>OK</t>
  </si>
  <si>
    <t>NÃO INSCRITO</t>
  </si>
  <si>
    <t>VANESSA ROSENO</t>
  </si>
  <si>
    <t>48 99168 4395</t>
  </si>
  <si>
    <t>ITAJAI - CENTRO</t>
  </si>
  <si>
    <t>FLORIANOPOLIS - RIO TAVARES - SUL DAILHA</t>
  </si>
  <si>
    <t>MICHELY CARDOSO</t>
  </si>
  <si>
    <t>RAQUEL KREMER</t>
  </si>
  <si>
    <t>GUILHERME MASSA</t>
  </si>
  <si>
    <t xml:space="preserve">guilhermemoraes@remax.com.br </t>
  </si>
  <si>
    <t>Rod. Jorn Mauricio S Sobrinho, 5674 - Jurerê, Florianópolis - SC, 88053-701</t>
  </si>
  <si>
    <t>Rua Rio Branco, 200 - Vila Moema - Tubarão/SC</t>
  </si>
  <si>
    <t>CASSIO GUIMARAES</t>
  </si>
  <si>
    <t xml:space="preserve">cassioguimaraes@remax.com.br </t>
  </si>
  <si>
    <t>ROBERTO KATSCHOR</t>
  </si>
  <si>
    <t xml:space="preserve">robertok@remax.com.br </t>
  </si>
  <si>
    <t>47 98424 1605</t>
  </si>
  <si>
    <t>EMAIL RECRUTADOR</t>
  </si>
  <si>
    <t>NOME RECRUTADOR</t>
  </si>
  <si>
    <t>FONE RECRUTADOR</t>
  </si>
  <si>
    <t>EMAIL FRANQUEADO</t>
  </si>
  <si>
    <t>FONE FRANQUEADO</t>
  </si>
  <si>
    <t xml:space="preserve">NAVEGANTES </t>
  </si>
  <si>
    <t>BALNEARIO CAMBORIU - ZONA SUL -  CENTRO</t>
  </si>
  <si>
    <t>ITAJAÍ -  PRAIA BRAVA - BALNEARIO CAMBORIU - ZONA NORTE /. CENTRO</t>
  </si>
  <si>
    <t>ITAPEMA - CENTRO - PORTO BELO</t>
  </si>
  <si>
    <t>ITAPEMA CENTRO - PORTO BELO</t>
  </si>
  <si>
    <t>RE/MAX ACELERA</t>
  </si>
  <si>
    <t>RE/MAX ITAPOA</t>
  </si>
  <si>
    <t>FLORIANOPOLIS - LAGOA DA CONCEICAO</t>
  </si>
  <si>
    <t>ITAPOA</t>
  </si>
  <si>
    <t>VANESSA OLIVEIRA</t>
  </si>
  <si>
    <t>47 98474 2613</t>
  </si>
  <si>
    <t>48 99168 1957</t>
  </si>
  <si>
    <t>tayonaraguimaraes@remax.com.br</t>
  </si>
  <si>
    <t>+55 47 98427-0257</t>
  </si>
  <si>
    <t>TAYONARA GUIMARAES</t>
  </si>
  <si>
    <t>RE/MAX MINDSET</t>
  </si>
  <si>
    <t>valquiriabroilo@remax.com.br</t>
  </si>
  <si>
    <t>+55 49 99151-1318</t>
  </si>
  <si>
    <t>VALQUIRIA BROILLO</t>
  </si>
  <si>
    <t>VAL TUELER</t>
  </si>
  <si>
    <t>+55 48 99135-2068</t>
  </si>
  <si>
    <t>Rua José Henrique Veras 386 - Sala 05 - Edifício comercial Maria Barcelos</t>
  </si>
  <si>
    <t>valber1973t@gmail.com</t>
  </si>
  <si>
    <t>+55 48 98466-1565</t>
  </si>
  <si>
    <t>LEANDRO RIBAS</t>
  </si>
  <si>
    <t>RENATO ROSENO</t>
  </si>
  <si>
    <t>+55 49 99157-2424</t>
  </si>
  <si>
    <t>BRUNA RECALCATTI</t>
  </si>
  <si>
    <t>brunarecalcatti@remax.com.br</t>
  </si>
  <si>
    <t>michelycardoso@remax.com.br</t>
  </si>
  <si>
    <t>PAULO HICKMANN</t>
  </si>
  <si>
    <t>paulohickmann@remax.com.br</t>
  </si>
  <si>
    <t>+55 47 99111-2251</t>
  </si>
  <si>
    <t>+55 48 99125-6189</t>
  </si>
  <si>
    <t>ROCIO RODRIGUEZ</t>
  </si>
  <si>
    <t>danielarodriguez@remax.com.br</t>
  </si>
  <si>
    <t>+55 47 98482-1581</t>
  </si>
  <si>
    <t>Porto Belo, SC, 88210-000, Brasil</t>
  </si>
  <si>
    <t>EVANDRO SCHULTZ</t>
  </si>
  <si>
    <t>+55 47 99231-7320</t>
  </si>
  <si>
    <t>+55 51 98954-1789</t>
  </si>
  <si>
    <t>MARIA LUCIA</t>
  </si>
  <si>
    <t>JEAN MANN</t>
  </si>
  <si>
    <t>+55 54 99644-1516</t>
  </si>
  <si>
    <t>SUELLEN STRAUBEL</t>
  </si>
  <si>
    <t>NOME BROKER FRANQUEADO</t>
  </si>
  <si>
    <t>JAQUELINE RAGNINI</t>
  </si>
  <si>
    <t>suellenstraubel@remax.com.br</t>
  </si>
  <si>
    <t>+55 49 99925-6933</t>
  </si>
  <si>
    <t>jeanmann@remax.com.br</t>
  </si>
  <si>
    <t>+55 48 99670-2812</t>
  </si>
  <si>
    <t>schultzevandro1@gmail.com</t>
  </si>
  <si>
    <t>+55 47 99697-8780</t>
  </si>
  <si>
    <t>JOICE PORTO</t>
  </si>
  <si>
    <t>joiceporto@remax.com.br</t>
  </si>
  <si>
    <t>+55 48 98827-0253</t>
  </si>
  <si>
    <t>+55 48 98850-5353</t>
  </si>
  <si>
    <t>MAYCON MOREIRA PINTO</t>
  </si>
  <si>
    <t>lucianomendescorretor@gmail.com</t>
  </si>
  <si>
    <t>+55 47 99937-3503</t>
  </si>
  <si>
    <t>MARCO LUCIANO MENDES</t>
  </si>
  <si>
    <t>mayconmp@remax.com.br</t>
  </si>
  <si>
    <t>renatoroseno@remax.com.br</t>
  </si>
  <si>
    <t>+55 49 99197-1208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</si>
</sst>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4"/>
      <name val="Calibri"/>
      <family val="2"/>
      <scheme val="minor"/>
    </font>
    <font>
      <sz val="12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0" xfId="0" applyFont="1"/>
    <xf numFmtId="44" fontId="16" fillId="0" borderId="0" xfId="3" applyFont="1" applyFill="1" applyBorder="1" applyAlignment="1">
      <alignment horizontal="center" vertical="center"/>
    </xf>
    <xf numFmtId="10" fontId="11" fillId="0" borderId="0" xfId="2" applyNumberFormat="1" applyFont="1" applyFill="1" applyBorder="1"/>
    <xf numFmtId="1" fontId="16" fillId="0" borderId="0" xfId="3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4" fontId="16" fillId="0" borderId="0" xfId="0" applyNumberFormat="1" applyFont="1" applyAlignment="1">
      <alignment horizontal="center" vertical="center"/>
    </xf>
    <xf numFmtId="9" fontId="16" fillId="0" borderId="0" xfId="2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4" fillId="0" borderId="18" xfId="0" applyFont="1" applyBorder="1"/>
    <xf numFmtId="0" fontId="9" fillId="0" borderId="18" xfId="0" applyFont="1" applyBorder="1" applyAlignment="1">
      <alignment horizontal="center" vertical="center"/>
    </xf>
    <xf numFmtId="164" fontId="0" fillId="0" borderId="0" xfId="0" applyNumberFormat="1"/>
    <xf numFmtId="164" fontId="7" fillId="0" borderId="1" xfId="3" applyNumberFormat="1" applyFont="1" applyBorder="1" applyAlignment="1">
      <alignment horizontal="center" vertical="center"/>
    </xf>
    <xf numFmtId="164" fontId="3" fillId="0" borderId="2" xfId="3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4" fillId="0" borderId="9" xfId="0" applyFont="1" applyBorder="1"/>
    <xf numFmtId="164" fontId="0" fillId="0" borderId="6" xfId="0" applyNumberFormat="1" applyBorder="1" applyAlignment="1">
      <alignment horizontal="center" vertical="center"/>
    </xf>
    <xf numFmtId="0" fontId="4" fillId="0" borderId="2" xfId="0" applyFont="1" applyBorder="1"/>
    <xf numFmtId="164" fontId="0" fillId="2" borderId="3" xfId="0" applyNumberFormat="1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44" fontId="9" fillId="0" borderId="0" xfId="3" applyFont="1" applyBorder="1"/>
    <xf numFmtId="44" fontId="0" fillId="0" borderId="0" xfId="0" applyNumberFormat="1"/>
    <xf numFmtId="0" fontId="0" fillId="0" borderId="5" xfId="0" applyBorder="1"/>
    <xf numFmtId="44" fontId="4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11" fillId="6" borderId="10" xfId="0" applyNumberFormat="1" applyFont="1" applyFill="1" applyBorder="1" applyAlignment="1">
      <alignment vertical="center"/>
    </xf>
    <xf numFmtId="44" fontId="4" fillId="0" borderId="2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6" fillId="2" borderId="21" xfId="0" applyNumberFormat="1" applyFont="1" applyFill="1" applyBorder="1"/>
    <xf numFmtId="44" fontId="4" fillId="3" borderId="21" xfId="0" applyNumberFormat="1" applyFont="1" applyFill="1" applyBorder="1"/>
    <xf numFmtId="44" fontId="4" fillId="7" borderId="21" xfId="0" applyNumberFormat="1" applyFont="1" applyFill="1" applyBorder="1"/>
    <xf numFmtId="44" fontId="6" fillId="2" borderId="20" xfId="0" applyNumberFormat="1" applyFont="1" applyFill="1" applyBorder="1"/>
    <xf numFmtId="44" fontId="6" fillId="3" borderId="12" xfId="0" applyNumberFormat="1" applyFont="1" applyFill="1" applyBorder="1"/>
    <xf numFmtId="44" fontId="6" fillId="7" borderId="12" xfId="0" applyNumberFormat="1" applyFont="1" applyFill="1" applyBorder="1"/>
    <xf numFmtId="44" fontId="6" fillId="2" borderId="12" xfId="0" applyNumberFormat="1" applyFont="1" applyFill="1" applyBorder="1"/>
    <xf numFmtId="44" fontId="6" fillId="7" borderId="16" xfId="0" applyNumberFormat="1" applyFont="1" applyFill="1" applyBorder="1"/>
    <xf numFmtId="164" fontId="3" fillId="2" borderId="20" xfId="3" applyNumberFormat="1" applyFont="1" applyFill="1" applyBorder="1" applyAlignment="1">
      <alignment horizontal="center"/>
    </xf>
    <xf numFmtId="164" fontId="3" fillId="3" borderId="12" xfId="3" applyNumberFormat="1" applyFont="1" applyFill="1" applyBorder="1" applyAlignment="1">
      <alignment horizontal="center"/>
    </xf>
    <xf numFmtId="164" fontId="3" fillId="7" borderId="12" xfId="3" applyNumberFormat="1" applyFont="1" applyFill="1" applyBorder="1" applyAlignment="1">
      <alignment horizontal="center"/>
    </xf>
    <xf numFmtId="164" fontId="3" fillId="2" borderId="12" xfId="3" applyNumberFormat="1" applyFont="1" applyFill="1" applyBorder="1" applyAlignment="1">
      <alignment horizontal="center"/>
    </xf>
    <xf numFmtId="164" fontId="3" fillId="7" borderId="16" xfId="3" applyNumberFormat="1" applyFont="1" applyFill="1" applyBorder="1" applyAlignment="1">
      <alignment horizontal="center"/>
    </xf>
    <xf numFmtId="44" fontId="4" fillId="2" borderId="14" xfId="0" applyNumberFormat="1" applyFont="1" applyFill="1" applyBorder="1" applyAlignment="1">
      <alignment horizontal="center"/>
    </xf>
    <xf numFmtId="44" fontId="4" fillId="3" borderId="11" xfId="0" applyNumberFormat="1" applyFont="1" applyFill="1" applyBorder="1" applyAlignment="1">
      <alignment horizontal="center"/>
    </xf>
    <xf numFmtId="44" fontId="4" fillId="7" borderId="11" xfId="0" applyNumberFormat="1" applyFont="1" applyFill="1" applyBorder="1" applyAlignment="1">
      <alignment horizontal="center"/>
    </xf>
    <xf numFmtId="44" fontId="4" fillId="2" borderId="11" xfId="0" applyNumberFormat="1" applyFont="1" applyFill="1" applyBorder="1" applyAlignment="1">
      <alignment horizontal="center"/>
    </xf>
    <xf numFmtId="44" fontId="4" fillId="7" borderId="15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1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1" applyFont="1" applyFill="1" applyBorder="1"/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44" fontId="6" fillId="7" borderId="13" xfId="0" applyNumberFormat="1" applyFont="1" applyFill="1" applyBorder="1"/>
    <xf numFmtId="164" fontId="3" fillId="7" borderId="13" xfId="3" applyNumberFormat="1" applyFont="1" applyFill="1" applyBorder="1" applyAlignment="1">
      <alignment horizontal="center"/>
    </xf>
    <xf numFmtId="44" fontId="4" fillId="7" borderId="22" xfId="0" applyNumberFormat="1" applyFont="1" applyFill="1" applyBorder="1" applyAlignment="1">
      <alignment horizontal="center"/>
    </xf>
    <xf numFmtId="0" fontId="2" fillId="0" borderId="0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4" fontId="12" fillId="5" borderId="1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16" fontId="0" fillId="0" borderId="0" xfId="0" applyNumberFormat="1"/>
    <xf numFmtId="20" fontId="0" fillId="0" borderId="0" xfId="0" applyNumberFormat="1"/>
    <xf numFmtId="0" fontId="4" fillId="0" borderId="0" xfId="0" applyFont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9" fontId="0" fillId="0" borderId="0" xfId="0" applyNumberFormat="1" applyAlignment="1">
      <alignment horizontal="right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0" fontId="10" fillId="0" borderId="0" xfId="2" applyNumberFormat="1" applyFont="1" applyFill="1" applyBorder="1"/>
    <xf numFmtId="9" fontId="0" fillId="0" borderId="0" xfId="2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9" fontId="1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18" fillId="5" borderId="0" xfId="0" applyFont="1" applyFill="1" applyAlignment="1">
      <alignment vertical="center"/>
    </xf>
    <xf numFmtId="0" fontId="2" fillId="0" borderId="0" xfId="1"/>
    <xf numFmtId="0" fontId="14" fillId="0" borderId="0" xfId="0" applyFont="1" applyAlignment="1">
      <alignment horizontal="left" vertical="center"/>
    </xf>
    <xf numFmtId="44" fontId="16" fillId="0" borderId="0" xfId="3" applyFont="1" applyFill="1" applyBorder="1" applyAlignment="1">
      <alignment horizontal="left" vertical="center"/>
    </xf>
    <xf numFmtId="0" fontId="7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8" fillId="9" borderId="0" xfId="0" applyFont="1" applyFill="1" applyAlignment="1">
      <alignment vertical="center"/>
    </xf>
    <xf numFmtId="0" fontId="2" fillId="9" borderId="0" xfId="1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18" fillId="9" borderId="0" xfId="1" applyFont="1" applyFill="1" applyBorder="1"/>
    <xf numFmtId="0" fontId="18" fillId="9" borderId="0" xfId="0" applyFont="1" applyFill="1" applyAlignment="1">
      <alignment horizontal="left" vertical="center"/>
    </xf>
    <xf numFmtId="0" fontId="18" fillId="9" borderId="0" xfId="1" applyFont="1" applyFill="1" applyBorder="1" applyAlignment="1">
      <alignment horizontal="left" vertical="center"/>
    </xf>
    <xf numFmtId="0" fontId="18" fillId="9" borderId="0" xfId="1" applyFont="1" applyFill="1" applyBorder="1" applyAlignment="1">
      <alignment vertical="center"/>
    </xf>
    <xf numFmtId="0" fontId="0" fillId="9" borderId="0" xfId="0" applyFill="1" applyAlignment="1">
      <alignment horizontal="center" vertical="center" wrapText="1"/>
    </xf>
    <xf numFmtId="0" fontId="6" fillId="9" borderId="0" xfId="0" applyFont="1" applyFill="1"/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44" fontId="16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18" fillId="7" borderId="0" xfId="0" applyFont="1" applyFill="1" applyAlignment="1">
      <alignment vertical="center"/>
    </xf>
    <xf numFmtId="0" fontId="18" fillId="7" borderId="0" xfId="0" applyFont="1" applyFill="1" applyAlignment="1">
      <alignment horizontal="left" vertical="center"/>
    </xf>
    <xf numFmtId="0" fontId="2" fillId="0" borderId="0" xfId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 vertical="center"/>
    </xf>
    <xf numFmtId="0" fontId="18" fillId="7" borderId="0" xfId="1" applyFont="1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</cellXfs>
  <cellStyles count="4">
    <cellStyle name="Currency" xfId="3" builtinId="4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bertok@remax.com.br" TargetMode="External"/><Relationship Id="rId13" Type="http://schemas.openxmlformats.org/officeDocument/2006/relationships/hyperlink" Target="mailto:andrebissacot@remax.com.br" TargetMode="External"/><Relationship Id="rId18" Type="http://schemas.openxmlformats.org/officeDocument/2006/relationships/hyperlink" Target="mailto:romulopaulo@remax.com.br" TargetMode="External"/><Relationship Id="rId3" Type="http://schemas.openxmlformats.org/officeDocument/2006/relationships/hyperlink" Target="mailto:alexandrerodarte@remax.com.br" TargetMode="External"/><Relationship Id="rId21" Type="http://schemas.openxmlformats.org/officeDocument/2006/relationships/hyperlink" Target="mailto:cassioguimaraes@remax.com.br" TargetMode="External"/><Relationship Id="rId7" Type="http://schemas.openxmlformats.org/officeDocument/2006/relationships/hyperlink" Target="mailto:vanessadesouza@remax.com.br" TargetMode="External"/><Relationship Id="rId12" Type="http://schemas.openxmlformats.org/officeDocument/2006/relationships/hyperlink" Target="mailto:brunarecalcatti@remax.com.br" TargetMode="External"/><Relationship Id="rId17" Type="http://schemas.openxmlformats.org/officeDocument/2006/relationships/hyperlink" Target="mailto:isabellemoraes@remax.com.br" TargetMode="External"/><Relationship Id="rId2" Type="http://schemas.openxmlformats.org/officeDocument/2006/relationships/hyperlink" Target="mailto:isabellemoraes@remax.com.br" TargetMode="External"/><Relationship Id="rId16" Type="http://schemas.openxmlformats.org/officeDocument/2006/relationships/hyperlink" Target="mailto:Jaqueragnini@remax.com.br" TargetMode="External"/><Relationship Id="rId20" Type="http://schemas.openxmlformats.org/officeDocument/2006/relationships/hyperlink" Target="mailto:cassioguimaraes@remax.com.br" TargetMode="External"/><Relationship Id="rId1" Type="http://schemas.openxmlformats.org/officeDocument/2006/relationships/hyperlink" Target="mailto:romulopaulo@remax.com.br" TargetMode="External"/><Relationship Id="rId6" Type="http://schemas.openxmlformats.org/officeDocument/2006/relationships/hyperlink" Target="mailto:sheilamm@remax.com.br" TargetMode="External"/><Relationship Id="rId11" Type="http://schemas.openxmlformats.org/officeDocument/2006/relationships/hyperlink" Target="mailto:guilhermemoraes@remax.com.br" TargetMode="External"/><Relationship Id="rId5" Type="http://schemas.openxmlformats.org/officeDocument/2006/relationships/hyperlink" Target="mailto:raquelkremer@remax.com.br" TargetMode="External"/><Relationship Id="rId15" Type="http://schemas.openxmlformats.org/officeDocument/2006/relationships/hyperlink" Target="mailto:epiaia@remax.com.br" TargetMode="External"/><Relationship Id="rId10" Type="http://schemas.openxmlformats.org/officeDocument/2006/relationships/hyperlink" Target="mailto:isabellemoraes@remax.com.br" TargetMode="External"/><Relationship Id="rId19" Type="http://schemas.openxmlformats.org/officeDocument/2006/relationships/hyperlink" Target="mailto:cassioguimaraes@remax.com.br" TargetMode="External"/><Relationship Id="rId4" Type="http://schemas.openxmlformats.org/officeDocument/2006/relationships/hyperlink" Target="mailto:epiaia@remax.com.br" TargetMode="External"/><Relationship Id="rId9" Type="http://schemas.openxmlformats.org/officeDocument/2006/relationships/hyperlink" Target="mailto:raquelkremer@remax.com.br" TargetMode="External"/><Relationship Id="rId14" Type="http://schemas.openxmlformats.org/officeDocument/2006/relationships/hyperlink" Target="mailto:alexandrerodarte@remax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11F2-BD47-4DFA-A3E1-B2B45C4AC770}">
  <dimension ref="A1:AB35"/>
  <sheetViews>
    <sheetView tabSelected="1" zoomScale="110" zoomScaleNormal="97"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5" x14ac:dyDescent="0.2"/>
  <cols>
    <col min="2" max="2" width="19.6640625" bestFit="1" customWidth="1"/>
    <col min="3" max="3" width="57.33203125" bestFit="1" customWidth="1"/>
    <col min="4" max="4" width="25.5" style="3" bestFit="1" customWidth="1"/>
    <col min="5" max="5" width="17.5" style="121" bestFit="1" customWidth="1"/>
    <col min="6" max="6" width="29.33203125" style="130" bestFit="1" customWidth="1"/>
    <col min="7" max="7" width="20.33203125" style="2" bestFit="1" customWidth="1"/>
    <col min="8" max="8" width="30.33203125" style="3" bestFit="1" customWidth="1"/>
    <col min="9" max="9" width="27.33203125" bestFit="1" customWidth="1"/>
    <col min="10" max="10" width="20.6640625" style="2" bestFit="1" customWidth="1"/>
    <col min="11" max="11" width="77.33203125" style="3" bestFit="1" customWidth="1"/>
    <col min="12" max="12" width="18" style="2" bestFit="1" customWidth="1"/>
    <col min="13" max="13" width="22.6640625" bestFit="1" customWidth="1"/>
    <col min="14" max="14" width="9.5" customWidth="1"/>
    <col min="15" max="15" width="9.1640625" bestFit="1" customWidth="1"/>
    <col min="19" max="19" width="0" style="81" hidden="1" customWidth="1"/>
    <col min="20" max="20" width="27.1640625" bestFit="1" customWidth="1"/>
    <col min="21" max="21" width="3.5" style="3" hidden="1" customWidth="1"/>
    <col min="22" max="22" width="14" style="2" bestFit="1" customWidth="1"/>
    <col min="23" max="23" width="15.83203125" bestFit="1" customWidth="1"/>
    <col min="24" max="24" width="14.6640625" bestFit="1" customWidth="1"/>
    <col min="25" max="25" width="12.5" bestFit="1" customWidth="1"/>
    <col min="26" max="26" width="16.5" bestFit="1" customWidth="1"/>
    <col min="27" max="27" width="18" style="17" bestFit="1" customWidth="1"/>
    <col min="28" max="28" width="12.5" bestFit="1" customWidth="1"/>
  </cols>
  <sheetData>
    <row r="1" spans="1:28" s="4" customFormat="1" ht="45" customHeight="1" thickBot="1" x14ac:dyDescent="0.25">
      <c r="B1" s="4" t="s">
        <v>13</v>
      </c>
      <c r="C1" s="4" t="s">
        <v>46</v>
      </c>
      <c r="D1" s="4" t="s">
        <v>131</v>
      </c>
      <c r="E1" s="119" t="s">
        <v>55</v>
      </c>
      <c r="F1" s="120" t="s">
        <v>130</v>
      </c>
      <c r="G1" s="4" t="s">
        <v>132</v>
      </c>
      <c r="H1" s="79" t="s">
        <v>180</v>
      </c>
      <c r="I1" s="56" t="s">
        <v>133</v>
      </c>
      <c r="J1" s="4" t="s">
        <v>134</v>
      </c>
      <c r="K1" s="4" t="s">
        <v>78</v>
      </c>
      <c r="N1" s="69"/>
      <c r="S1" s="78"/>
      <c r="U1" s="79"/>
      <c r="X1" s="70" t="s">
        <v>108</v>
      </c>
      <c r="Y1" s="14" t="s">
        <v>111</v>
      </c>
      <c r="Z1" s="5" t="s">
        <v>112</v>
      </c>
      <c r="AA1" s="18" t="s">
        <v>110</v>
      </c>
      <c r="AB1" s="20" t="s">
        <v>109</v>
      </c>
    </row>
    <row r="2" spans="1:28" ht="16" x14ac:dyDescent="0.2">
      <c r="A2" s="109">
        <v>1</v>
      </c>
      <c r="B2" s="114" t="s">
        <v>140</v>
      </c>
      <c r="C2" s="114" t="s">
        <v>142</v>
      </c>
      <c r="D2" s="3" t="s">
        <v>159</v>
      </c>
      <c r="E2" s="121" t="s">
        <v>77</v>
      </c>
      <c r="F2" s="136"/>
      <c r="G2" s="68" t="s">
        <v>158</v>
      </c>
      <c r="H2" s="3" t="s">
        <v>154</v>
      </c>
      <c r="I2" s="115" t="s">
        <v>157</v>
      </c>
      <c r="J2" s="68" t="s">
        <v>155</v>
      </c>
      <c r="K2" s="3" t="s">
        <v>156</v>
      </c>
      <c r="L2" s="93"/>
      <c r="M2" s="94"/>
      <c r="N2" s="83"/>
      <c r="O2" s="84"/>
      <c r="T2" s="68"/>
      <c r="W2" s="82"/>
      <c r="X2" s="74">
        <f t="shared" ref="X2" si="0">V2-W2</f>
        <v>0</v>
      </c>
      <c r="Y2" s="40">
        <f>X2*AA2</f>
        <v>0</v>
      </c>
      <c r="Z2" s="43">
        <v>1191.49</v>
      </c>
      <c r="AA2" s="48">
        <v>1600</v>
      </c>
      <c r="AB2" s="53">
        <f t="shared" ref="AB2" si="1">X2*Z2</f>
        <v>0</v>
      </c>
    </row>
    <row r="3" spans="1:28" x14ac:dyDescent="0.2">
      <c r="A3" s="109">
        <v>2</v>
      </c>
      <c r="B3" s="110" t="s">
        <v>0</v>
      </c>
      <c r="C3" s="110" t="s">
        <v>44</v>
      </c>
      <c r="D3" s="57" t="s">
        <v>115</v>
      </c>
      <c r="E3" s="121" t="s">
        <v>61</v>
      </c>
      <c r="F3" s="123" t="s">
        <v>33</v>
      </c>
      <c r="G3" s="68" t="s">
        <v>116</v>
      </c>
      <c r="H3" s="57" t="s">
        <v>160</v>
      </c>
      <c r="I3" s="139" t="s">
        <v>197</v>
      </c>
      <c r="J3" s="68" t="s">
        <v>168</v>
      </c>
      <c r="K3" s="57" t="s">
        <v>79</v>
      </c>
      <c r="L3" s="80"/>
      <c r="M3" s="6"/>
      <c r="T3" s="1"/>
      <c r="W3" s="82"/>
      <c r="X3" s="71">
        <f t="shared" ref="X3:X4" si="2">V3-W3</f>
        <v>0</v>
      </c>
      <c r="Y3" s="39">
        <f t="shared" ref="Y3:Y23" si="3">X3*AA3</f>
        <v>0</v>
      </c>
      <c r="Z3" s="42">
        <v>1191.49</v>
      </c>
      <c r="AA3" s="47">
        <v>1600</v>
      </c>
      <c r="AB3" s="52">
        <f t="shared" ref="AB3:AB23" si="4">X3*Z3</f>
        <v>0</v>
      </c>
    </row>
    <row r="4" spans="1:28" ht="16" x14ac:dyDescent="0.2">
      <c r="A4" s="109">
        <v>3</v>
      </c>
      <c r="B4" s="110" t="s">
        <v>47</v>
      </c>
      <c r="C4" s="110" t="s">
        <v>50</v>
      </c>
      <c r="D4" s="3" t="s">
        <v>120</v>
      </c>
      <c r="E4" s="124" t="s">
        <v>62</v>
      </c>
      <c r="F4" s="125" t="s">
        <v>49</v>
      </c>
      <c r="G4" s="2" t="s">
        <v>48</v>
      </c>
      <c r="H4" s="3" t="s">
        <v>120</v>
      </c>
      <c r="I4" s="60" t="s">
        <v>49</v>
      </c>
      <c r="J4" s="2" t="s">
        <v>48</v>
      </c>
      <c r="K4" s="3" t="s">
        <v>83</v>
      </c>
      <c r="L4" s="80"/>
      <c r="M4" s="6"/>
      <c r="N4" s="83"/>
      <c r="O4" s="84"/>
      <c r="T4" s="1"/>
      <c r="W4" s="82"/>
      <c r="X4" s="71">
        <f t="shared" si="2"/>
        <v>0</v>
      </c>
      <c r="Y4" s="39">
        <f t="shared" si="3"/>
        <v>0</v>
      </c>
      <c r="Z4" s="42">
        <v>1191.49</v>
      </c>
      <c r="AA4" s="47">
        <v>1600</v>
      </c>
      <c r="AB4" s="52">
        <f t="shared" si="4"/>
        <v>0</v>
      </c>
    </row>
    <row r="5" spans="1:28" ht="16" x14ac:dyDescent="0.2">
      <c r="A5" s="109">
        <v>4</v>
      </c>
      <c r="B5" s="110" t="s">
        <v>8</v>
      </c>
      <c r="C5" s="110" t="s">
        <v>117</v>
      </c>
      <c r="D5" s="57" t="s">
        <v>144</v>
      </c>
      <c r="E5" s="121" t="s">
        <v>63</v>
      </c>
      <c r="F5" s="137"/>
      <c r="G5" s="68" t="s">
        <v>145</v>
      </c>
      <c r="H5" s="57" t="s">
        <v>144</v>
      </c>
      <c r="I5" s="139"/>
      <c r="J5" s="68" t="s">
        <v>145</v>
      </c>
      <c r="K5" s="57" t="s">
        <v>81</v>
      </c>
      <c r="L5" s="85"/>
      <c r="M5" s="86"/>
      <c r="N5" s="83"/>
      <c r="O5" s="84"/>
      <c r="T5" s="1"/>
      <c r="W5" s="82"/>
      <c r="X5" s="72"/>
      <c r="Y5" s="38">
        <f t="shared" si="3"/>
        <v>0</v>
      </c>
      <c r="Z5" s="44">
        <v>1191.49</v>
      </c>
      <c r="AA5" s="49">
        <v>1600</v>
      </c>
      <c r="AB5" s="54">
        <f t="shared" si="4"/>
        <v>0</v>
      </c>
    </row>
    <row r="6" spans="1:28" ht="16" x14ac:dyDescent="0.2">
      <c r="A6" s="109">
        <v>5</v>
      </c>
      <c r="B6" s="110" t="s">
        <v>1</v>
      </c>
      <c r="C6" s="110" t="s">
        <v>137</v>
      </c>
      <c r="D6" s="57" t="s">
        <v>20</v>
      </c>
      <c r="E6" s="124" t="s">
        <v>64</v>
      </c>
      <c r="F6" s="127" t="s">
        <v>21</v>
      </c>
      <c r="G6" s="68" t="s">
        <v>30</v>
      </c>
      <c r="H6" s="57" t="s">
        <v>20</v>
      </c>
      <c r="I6" s="58" t="s">
        <v>21</v>
      </c>
      <c r="J6" s="68" t="s">
        <v>30</v>
      </c>
      <c r="K6" s="57" t="s">
        <v>82</v>
      </c>
      <c r="L6" s="80"/>
      <c r="M6" s="6"/>
      <c r="N6" s="83"/>
      <c r="O6" s="84"/>
      <c r="T6" s="1"/>
      <c r="W6" s="82"/>
      <c r="X6" s="71">
        <f t="shared" ref="X6:X23" si="5">V6-W6</f>
        <v>0</v>
      </c>
      <c r="Y6" s="39">
        <f t="shared" si="3"/>
        <v>0</v>
      </c>
      <c r="Z6" s="42">
        <v>1191.49</v>
      </c>
      <c r="AA6" s="47">
        <v>1600</v>
      </c>
      <c r="AB6" s="52">
        <f t="shared" si="4"/>
        <v>0</v>
      </c>
    </row>
    <row r="7" spans="1:28" ht="16" thickBot="1" x14ac:dyDescent="0.25">
      <c r="A7" s="111">
        <v>6</v>
      </c>
      <c r="B7" s="110" t="s">
        <v>9</v>
      </c>
      <c r="C7" s="110" t="s">
        <v>43</v>
      </c>
      <c r="D7" s="57" t="s">
        <v>162</v>
      </c>
      <c r="E7" s="124" t="s">
        <v>65</v>
      </c>
      <c r="F7" s="123" t="s">
        <v>163</v>
      </c>
      <c r="G7" s="68" t="s">
        <v>161</v>
      </c>
      <c r="H7" s="57" t="s">
        <v>121</v>
      </c>
      <c r="I7" s="67" t="s">
        <v>122</v>
      </c>
      <c r="J7" s="68" t="s">
        <v>146</v>
      </c>
      <c r="K7" s="57" t="s">
        <v>123</v>
      </c>
      <c r="L7" s="80"/>
      <c r="M7" s="6"/>
      <c r="N7" s="83"/>
      <c r="O7" s="84"/>
      <c r="T7" s="1"/>
      <c r="W7" s="82"/>
      <c r="X7" s="71">
        <f t="shared" si="5"/>
        <v>0</v>
      </c>
      <c r="Y7" s="39">
        <f t="shared" si="3"/>
        <v>0</v>
      </c>
      <c r="Z7" s="42">
        <v>1191.49</v>
      </c>
      <c r="AA7" s="47">
        <v>1600</v>
      </c>
      <c r="AB7" s="52">
        <f t="shared" si="4"/>
        <v>0</v>
      </c>
    </row>
    <row r="8" spans="1:28" s="1" customFormat="1" x14ac:dyDescent="0.2">
      <c r="A8" s="109">
        <v>7</v>
      </c>
      <c r="B8" s="112" t="s">
        <v>106</v>
      </c>
      <c r="C8" s="112" t="s">
        <v>45</v>
      </c>
      <c r="D8" s="57" t="s">
        <v>149</v>
      </c>
      <c r="E8" s="124" t="s">
        <v>60</v>
      </c>
      <c r="F8" s="123" t="s">
        <v>147</v>
      </c>
      <c r="G8" s="68" t="s">
        <v>148</v>
      </c>
      <c r="H8" s="57" t="s">
        <v>119</v>
      </c>
      <c r="I8" s="57" t="s">
        <v>164</v>
      </c>
      <c r="J8" s="68" t="s">
        <v>187</v>
      </c>
      <c r="K8" s="57" t="s">
        <v>80</v>
      </c>
      <c r="L8" s="80"/>
      <c r="M8" s="87"/>
      <c r="N8" s="83"/>
      <c r="O8" s="84"/>
      <c r="S8" s="88"/>
      <c r="U8" s="89"/>
      <c r="V8" s="2"/>
      <c r="W8" s="82"/>
      <c r="X8" s="73"/>
      <c r="Y8" s="38">
        <f t="shared" ref="Y8" si="6">X8*AA8</f>
        <v>0</v>
      </c>
      <c r="Z8" s="41"/>
      <c r="AA8" s="46">
        <v>1600</v>
      </c>
      <c r="AB8" s="51"/>
    </row>
    <row r="9" spans="1:28" ht="16" x14ac:dyDescent="0.2">
      <c r="A9" s="109">
        <v>8</v>
      </c>
      <c r="B9" s="110" t="s">
        <v>2</v>
      </c>
      <c r="C9" s="110" t="s">
        <v>118</v>
      </c>
      <c r="D9" s="57" t="s">
        <v>85</v>
      </c>
      <c r="E9" s="124" t="s">
        <v>66</v>
      </c>
      <c r="F9" s="126" t="s">
        <v>84</v>
      </c>
      <c r="G9" s="68" t="s">
        <v>86</v>
      </c>
      <c r="H9" s="57" t="s">
        <v>85</v>
      </c>
      <c r="I9" s="59" t="s">
        <v>84</v>
      </c>
      <c r="J9" s="68" t="s">
        <v>86</v>
      </c>
      <c r="K9" s="57" t="s">
        <v>87</v>
      </c>
      <c r="L9" s="85"/>
      <c r="M9" s="86"/>
      <c r="N9" s="83"/>
      <c r="O9" s="84"/>
      <c r="T9" s="2"/>
      <c r="V9" s="85"/>
      <c r="W9" s="82"/>
      <c r="X9" s="74">
        <f t="shared" si="5"/>
        <v>0</v>
      </c>
      <c r="Y9" s="40">
        <f t="shared" si="3"/>
        <v>0</v>
      </c>
      <c r="Z9" s="43">
        <v>1191.49</v>
      </c>
      <c r="AA9" s="48">
        <v>1600</v>
      </c>
      <c r="AB9" s="53">
        <f t="shared" si="4"/>
        <v>0</v>
      </c>
    </row>
    <row r="10" spans="1:28" ht="16" x14ac:dyDescent="0.2">
      <c r="A10" s="109">
        <v>9</v>
      </c>
      <c r="B10" s="110" t="s">
        <v>3</v>
      </c>
      <c r="C10" s="110" t="s">
        <v>139</v>
      </c>
      <c r="D10" s="139" t="s">
        <v>88</v>
      </c>
      <c r="E10" s="141" t="s">
        <v>67</v>
      </c>
      <c r="F10" s="137" t="s">
        <v>89</v>
      </c>
      <c r="G10" s="141" t="s">
        <v>90</v>
      </c>
      <c r="H10" s="57" t="s">
        <v>88</v>
      </c>
      <c r="I10" s="59" t="s">
        <v>89</v>
      </c>
      <c r="J10" s="68" t="s">
        <v>90</v>
      </c>
      <c r="K10" s="57" t="s">
        <v>91</v>
      </c>
      <c r="L10" s="85"/>
      <c r="M10" s="86"/>
      <c r="N10" s="83"/>
      <c r="O10" s="84"/>
      <c r="T10" s="2"/>
      <c r="V10" s="85"/>
      <c r="W10" s="82"/>
      <c r="X10" s="74">
        <f t="shared" si="5"/>
        <v>0</v>
      </c>
      <c r="Y10" s="40">
        <f t="shared" si="3"/>
        <v>0</v>
      </c>
      <c r="Z10" s="43">
        <v>1191.49</v>
      </c>
      <c r="AA10" s="48">
        <v>1600</v>
      </c>
      <c r="AB10" s="53">
        <f t="shared" si="4"/>
        <v>0</v>
      </c>
    </row>
    <row r="11" spans="1:28" ht="16" x14ac:dyDescent="0.2">
      <c r="A11" s="109">
        <v>10</v>
      </c>
      <c r="B11" s="110" t="s">
        <v>5</v>
      </c>
      <c r="C11" s="110" t="s">
        <v>42</v>
      </c>
      <c r="D11" s="57" t="s">
        <v>18</v>
      </c>
      <c r="E11" s="124" t="s">
        <v>68</v>
      </c>
      <c r="F11" s="126" t="s">
        <v>19</v>
      </c>
      <c r="G11" s="68" t="s">
        <v>26</v>
      </c>
      <c r="H11" s="57" t="s">
        <v>165</v>
      </c>
      <c r="I11" s="57" t="s">
        <v>166</v>
      </c>
      <c r="J11" s="68" t="s">
        <v>167</v>
      </c>
      <c r="K11" s="57" t="s">
        <v>92</v>
      </c>
      <c r="L11" s="80"/>
      <c r="M11" s="6"/>
      <c r="N11" s="83"/>
      <c r="O11" s="84"/>
      <c r="T11" s="1"/>
      <c r="W11" s="82"/>
      <c r="X11" s="72"/>
      <c r="Y11" s="38">
        <f t="shared" si="3"/>
        <v>0</v>
      </c>
      <c r="Z11" s="44">
        <v>1191.49</v>
      </c>
      <c r="AA11" s="49">
        <v>1600</v>
      </c>
      <c r="AB11" s="54">
        <f t="shared" si="4"/>
        <v>0</v>
      </c>
    </row>
    <row r="12" spans="1:28" ht="17" thickBot="1" x14ac:dyDescent="0.25">
      <c r="A12" s="109">
        <v>11</v>
      </c>
      <c r="B12" s="110" t="s">
        <v>105</v>
      </c>
      <c r="C12" s="110" t="s">
        <v>56</v>
      </c>
      <c r="D12" s="3" t="s">
        <v>57</v>
      </c>
      <c r="E12" s="135"/>
      <c r="F12" s="128" t="s">
        <v>59</v>
      </c>
      <c r="G12" s="68" t="s">
        <v>58</v>
      </c>
      <c r="H12" s="57" t="s">
        <v>169</v>
      </c>
      <c r="I12" s="63" t="s">
        <v>170</v>
      </c>
      <c r="J12" s="68" t="s">
        <v>171</v>
      </c>
      <c r="K12" s="3" t="s">
        <v>172</v>
      </c>
      <c r="L12" s="93"/>
      <c r="M12" s="94"/>
      <c r="N12" s="83"/>
      <c r="O12" s="84"/>
      <c r="T12" s="68"/>
      <c r="W12" s="82"/>
      <c r="X12" s="74">
        <f t="shared" ref="X12" si="7">V12-W12</f>
        <v>0</v>
      </c>
      <c r="Y12" s="40">
        <f>X12*AA12</f>
        <v>0</v>
      </c>
      <c r="Z12" s="45">
        <v>1191.49</v>
      </c>
      <c r="AA12" s="50">
        <v>1600</v>
      </c>
      <c r="AB12" s="55">
        <f t="shared" si="4"/>
        <v>0</v>
      </c>
    </row>
    <row r="13" spans="1:28" ht="16" x14ac:dyDescent="0.2">
      <c r="A13" s="113">
        <v>12</v>
      </c>
      <c r="B13" s="114" t="s">
        <v>141</v>
      </c>
      <c r="C13" s="114" t="s">
        <v>143</v>
      </c>
      <c r="D13" s="3" t="s">
        <v>173</v>
      </c>
      <c r="E13" s="135"/>
      <c r="F13" s="136" t="s">
        <v>186</v>
      </c>
      <c r="G13" s="68" t="s">
        <v>174</v>
      </c>
      <c r="H13" s="3" t="s">
        <v>195</v>
      </c>
      <c r="I13" s="63" t="s">
        <v>193</v>
      </c>
      <c r="J13" s="68" t="s">
        <v>194</v>
      </c>
      <c r="K13" s="140"/>
      <c r="L13" s="93"/>
      <c r="M13" s="94"/>
      <c r="N13" s="83"/>
      <c r="O13" s="84"/>
      <c r="T13" s="68"/>
      <c r="W13" s="82"/>
      <c r="X13" s="74"/>
      <c r="Y13" s="40"/>
      <c r="Z13" s="64"/>
      <c r="AA13" s="65"/>
      <c r="AB13" s="66"/>
    </row>
    <row r="14" spans="1:28" x14ac:dyDescent="0.2">
      <c r="A14" s="109">
        <v>13</v>
      </c>
      <c r="B14" s="110" t="s">
        <v>11</v>
      </c>
      <c r="C14" s="110" t="s">
        <v>41</v>
      </c>
      <c r="D14" s="57" t="s">
        <v>125</v>
      </c>
      <c r="E14" s="124" t="s">
        <v>72</v>
      </c>
      <c r="F14" s="123" t="s">
        <v>126</v>
      </c>
      <c r="G14" s="68" t="s">
        <v>185</v>
      </c>
      <c r="H14" s="57" t="s">
        <v>125</v>
      </c>
      <c r="I14" s="123" t="s">
        <v>126</v>
      </c>
      <c r="J14" s="124" t="s">
        <v>185</v>
      </c>
      <c r="K14" s="57" t="s">
        <v>124</v>
      </c>
      <c r="L14" s="80"/>
      <c r="M14" s="6"/>
      <c r="N14" s="83"/>
      <c r="O14" s="84"/>
      <c r="T14" s="82"/>
      <c r="U14" s="89"/>
      <c r="W14" s="82"/>
      <c r="X14" s="75"/>
      <c r="Y14" s="38">
        <f t="shared" si="3"/>
        <v>0</v>
      </c>
      <c r="Z14" s="44">
        <v>1191.49</v>
      </c>
      <c r="AA14" s="49">
        <v>1600</v>
      </c>
      <c r="AB14" s="54">
        <f t="shared" si="4"/>
        <v>0</v>
      </c>
    </row>
    <row r="15" spans="1:28" x14ac:dyDescent="0.2">
      <c r="A15" s="109">
        <v>14</v>
      </c>
      <c r="B15" s="110" t="s">
        <v>107</v>
      </c>
      <c r="C15" s="110" t="s">
        <v>39</v>
      </c>
      <c r="D15" s="143" t="s">
        <v>188</v>
      </c>
      <c r="E15" s="124" t="s">
        <v>72</v>
      </c>
      <c r="F15" s="123" t="s">
        <v>189</v>
      </c>
      <c r="G15" s="68" t="s">
        <v>190</v>
      </c>
      <c r="H15" s="57" t="s">
        <v>125</v>
      </c>
      <c r="I15" s="123" t="s">
        <v>126</v>
      </c>
      <c r="J15" s="124" t="s">
        <v>185</v>
      </c>
      <c r="K15" s="57" t="s">
        <v>94</v>
      </c>
      <c r="L15" s="80"/>
      <c r="M15" s="6"/>
      <c r="N15" s="83"/>
      <c r="O15" s="84"/>
      <c r="T15" s="1"/>
      <c r="W15" s="82"/>
      <c r="X15" s="76"/>
      <c r="Y15" s="38">
        <f t="shared" ref="Y15:Y16" si="8">X15*AA15</f>
        <v>0</v>
      </c>
      <c r="Z15" s="44">
        <v>1191.49</v>
      </c>
      <c r="AA15" s="49">
        <v>1600</v>
      </c>
      <c r="AB15" s="54">
        <f t="shared" ref="AB15:AB16" si="9">X15*Z15</f>
        <v>0</v>
      </c>
    </row>
    <row r="16" spans="1:28" ht="16" x14ac:dyDescent="0.2">
      <c r="A16" s="109">
        <v>15</v>
      </c>
      <c r="B16" s="110" t="s">
        <v>34</v>
      </c>
      <c r="C16" s="110" t="s">
        <v>35</v>
      </c>
      <c r="D16" s="57" t="s">
        <v>23</v>
      </c>
      <c r="E16" s="124" t="s">
        <v>69</v>
      </c>
      <c r="F16" s="126" t="s">
        <v>22</v>
      </c>
      <c r="G16" s="68" t="s">
        <v>27</v>
      </c>
      <c r="H16" s="57" t="s">
        <v>192</v>
      </c>
      <c r="I16" s="57" t="s">
        <v>196</v>
      </c>
      <c r="J16" s="68" t="s">
        <v>191</v>
      </c>
      <c r="K16" s="57" t="s">
        <v>102</v>
      </c>
      <c r="L16" s="92"/>
      <c r="M16" s="91"/>
      <c r="N16" s="83"/>
      <c r="O16" s="84"/>
      <c r="S16" s="95"/>
      <c r="T16" s="82"/>
      <c r="W16" s="82"/>
      <c r="X16" s="71">
        <f t="shared" ref="X16" si="10">V16-W16</f>
        <v>0</v>
      </c>
      <c r="Y16" s="39">
        <f t="shared" si="8"/>
        <v>0</v>
      </c>
      <c r="Z16" s="42">
        <v>1191.49</v>
      </c>
      <c r="AA16" s="47">
        <v>1600</v>
      </c>
      <c r="AB16" s="52">
        <f t="shared" si="9"/>
        <v>0</v>
      </c>
    </row>
    <row r="17" spans="1:28" ht="16" x14ac:dyDescent="0.2">
      <c r="A17" s="109">
        <v>16</v>
      </c>
      <c r="B17" s="110" t="s">
        <v>150</v>
      </c>
      <c r="C17" s="110" t="s">
        <v>40</v>
      </c>
      <c r="D17" s="57" t="s">
        <v>31</v>
      </c>
      <c r="E17" s="124" t="s">
        <v>70</v>
      </c>
      <c r="F17" s="126" t="s">
        <v>33</v>
      </c>
      <c r="G17" s="68" t="s">
        <v>32</v>
      </c>
      <c r="H17" s="57" t="s">
        <v>31</v>
      </c>
      <c r="I17" s="126" t="s">
        <v>33</v>
      </c>
      <c r="J17" s="68" t="s">
        <v>32</v>
      </c>
      <c r="K17" s="57" t="s">
        <v>103</v>
      </c>
      <c r="L17" s="85"/>
      <c r="M17" s="86"/>
      <c r="N17" s="83"/>
      <c r="O17" s="84"/>
      <c r="T17" s="1"/>
      <c r="W17" s="82"/>
      <c r="X17" s="71">
        <f t="shared" si="5"/>
        <v>0</v>
      </c>
      <c r="Y17" s="39">
        <f t="shared" si="3"/>
        <v>0</v>
      </c>
      <c r="Z17" s="42">
        <v>1191.49</v>
      </c>
      <c r="AA17" s="47">
        <v>1600</v>
      </c>
      <c r="AB17" s="52">
        <f t="shared" si="4"/>
        <v>0</v>
      </c>
    </row>
    <row r="18" spans="1:28" ht="16" x14ac:dyDescent="0.2">
      <c r="A18" s="109">
        <v>17</v>
      </c>
      <c r="B18" s="110" t="s">
        <v>12</v>
      </c>
      <c r="C18" s="110" t="s">
        <v>36</v>
      </c>
      <c r="D18" s="139" t="s">
        <v>16</v>
      </c>
      <c r="E18" s="141" t="s">
        <v>71</v>
      </c>
      <c r="F18" s="142" t="s">
        <v>17</v>
      </c>
      <c r="G18" s="141" t="s">
        <v>29</v>
      </c>
      <c r="H18" s="57" t="s">
        <v>16</v>
      </c>
      <c r="I18" s="127" t="s">
        <v>17</v>
      </c>
      <c r="J18" s="68" t="s">
        <v>29</v>
      </c>
      <c r="K18" s="57" t="s">
        <v>93</v>
      </c>
      <c r="L18" s="80"/>
      <c r="M18" s="6"/>
      <c r="N18" s="83"/>
      <c r="O18" s="84"/>
      <c r="T18" s="82"/>
      <c r="W18" s="82"/>
      <c r="X18" s="71">
        <f t="shared" si="5"/>
        <v>0</v>
      </c>
      <c r="Y18" s="39">
        <f t="shared" si="3"/>
        <v>0</v>
      </c>
      <c r="Z18" s="42">
        <v>1191.49</v>
      </c>
      <c r="AA18" s="47">
        <v>1600</v>
      </c>
      <c r="AB18" s="52">
        <f t="shared" si="4"/>
        <v>0</v>
      </c>
    </row>
    <row r="19" spans="1:28" x14ac:dyDescent="0.2">
      <c r="A19" s="109">
        <v>18</v>
      </c>
      <c r="B19" s="110" t="s">
        <v>10</v>
      </c>
      <c r="C19" s="110" t="s">
        <v>138</v>
      </c>
      <c r="D19" s="57" t="s">
        <v>127</v>
      </c>
      <c r="E19" s="124" t="s">
        <v>73</v>
      </c>
      <c r="F19" s="123" t="s">
        <v>128</v>
      </c>
      <c r="G19" s="68" t="s">
        <v>129</v>
      </c>
      <c r="H19" s="57" t="s">
        <v>177</v>
      </c>
      <c r="I19" s="57" t="s">
        <v>184</v>
      </c>
      <c r="J19" s="68" t="s">
        <v>178</v>
      </c>
      <c r="K19" s="57" t="s">
        <v>95</v>
      </c>
      <c r="L19" s="90"/>
      <c r="M19" s="91"/>
      <c r="N19" s="83"/>
      <c r="O19" s="84"/>
      <c r="T19" s="1"/>
      <c r="W19" s="82"/>
      <c r="X19" s="72"/>
      <c r="Y19" s="38">
        <f t="shared" si="3"/>
        <v>0</v>
      </c>
      <c r="Z19" s="44">
        <v>1191.49</v>
      </c>
      <c r="AA19" s="49">
        <v>1600</v>
      </c>
      <c r="AB19" s="54">
        <f t="shared" si="4"/>
        <v>0</v>
      </c>
    </row>
    <row r="20" spans="1:28" ht="16" x14ac:dyDescent="0.2">
      <c r="A20" s="109">
        <v>19</v>
      </c>
      <c r="B20" s="110" t="s">
        <v>4</v>
      </c>
      <c r="C20" s="110" t="s">
        <v>38</v>
      </c>
      <c r="D20" s="61" t="s">
        <v>179</v>
      </c>
      <c r="E20" s="129" t="s">
        <v>74</v>
      </c>
      <c r="F20" s="127" t="s">
        <v>182</v>
      </c>
      <c r="G20" s="68" t="s">
        <v>28</v>
      </c>
      <c r="H20" s="57" t="s">
        <v>181</v>
      </c>
      <c r="I20" s="127" t="s">
        <v>15</v>
      </c>
      <c r="J20" s="68" t="s">
        <v>183</v>
      </c>
      <c r="K20" s="61" t="s">
        <v>100</v>
      </c>
      <c r="L20" s="92"/>
      <c r="M20" s="91"/>
      <c r="N20" s="83"/>
      <c r="O20" s="84"/>
      <c r="T20" s="2"/>
      <c r="W20" s="82"/>
      <c r="X20" s="74">
        <f t="shared" si="5"/>
        <v>0</v>
      </c>
      <c r="Y20" s="40">
        <f t="shared" si="3"/>
        <v>0</v>
      </c>
      <c r="Z20" s="43">
        <v>1191.49</v>
      </c>
      <c r="AA20" s="48">
        <v>1600</v>
      </c>
      <c r="AB20" s="53">
        <f t="shared" si="4"/>
        <v>0</v>
      </c>
    </row>
    <row r="21" spans="1:28" ht="17" customHeight="1" x14ac:dyDescent="0.2">
      <c r="A21" s="109">
        <v>20</v>
      </c>
      <c r="B21" s="110" t="s">
        <v>51</v>
      </c>
      <c r="C21" s="110" t="s">
        <v>136</v>
      </c>
      <c r="D21" s="3" t="s">
        <v>176</v>
      </c>
      <c r="E21" s="135"/>
      <c r="F21" s="136"/>
      <c r="G21" s="68" t="s">
        <v>175</v>
      </c>
      <c r="H21" s="3" t="s">
        <v>52</v>
      </c>
      <c r="I21" s="62" t="s">
        <v>53</v>
      </c>
      <c r="J21" s="68" t="s">
        <v>54</v>
      </c>
      <c r="K21" s="3" t="s">
        <v>104</v>
      </c>
      <c r="L21" s="92"/>
      <c r="M21" s="91"/>
      <c r="N21" s="83"/>
      <c r="O21" s="84"/>
      <c r="T21" s="82"/>
      <c r="W21" s="82"/>
      <c r="X21" s="72"/>
      <c r="Y21" s="38">
        <f>X21*AA21</f>
        <v>0</v>
      </c>
      <c r="Z21" s="44">
        <v>1191.49</v>
      </c>
      <c r="AA21" s="49">
        <v>1600</v>
      </c>
      <c r="AB21" s="54">
        <f t="shared" ref="AB21" si="11">X21*Z21</f>
        <v>0</v>
      </c>
    </row>
    <row r="22" spans="1:28" ht="16" x14ac:dyDescent="0.2">
      <c r="A22" s="109">
        <v>21</v>
      </c>
      <c r="B22" s="110" t="s">
        <v>14</v>
      </c>
      <c r="C22" s="110" t="s">
        <v>135</v>
      </c>
      <c r="D22" s="57" t="s">
        <v>96</v>
      </c>
      <c r="E22" s="124" t="s">
        <v>75</v>
      </c>
      <c r="F22" s="127" t="s">
        <v>98</v>
      </c>
      <c r="G22" s="68" t="s">
        <v>97</v>
      </c>
      <c r="H22" s="57" t="s">
        <v>20</v>
      </c>
      <c r="I22" s="138" t="s">
        <v>21</v>
      </c>
      <c r="J22" s="68" t="s">
        <v>30</v>
      </c>
      <c r="K22" s="57" t="s">
        <v>99</v>
      </c>
      <c r="L22" s="92"/>
      <c r="M22" s="91"/>
      <c r="N22" s="83"/>
      <c r="O22" s="84"/>
      <c r="T22" s="82"/>
      <c r="W22" s="82"/>
      <c r="X22" s="71">
        <f t="shared" si="5"/>
        <v>0</v>
      </c>
      <c r="Y22" s="39">
        <f t="shared" si="3"/>
        <v>0</v>
      </c>
      <c r="Z22" s="42">
        <v>1191.49</v>
      </c>
      <c r="AA22" s="47">
        <v>1600</v>
      </c>
      <c r="AB22" s="52">
        <f t="shared" si="4"/>
        <v>0</v>
      </c>
    </row>
    <row r="23" spans="1:28" ht="16" x14ac:dyDescent="0.2">
      <c r="A23" s="109">
        <v>22</v>
      </c>
      <c r="B23" s="110" t="s">
        <v>6</v>
      </c>
      <c r="C23" s="110" t="s">
        <v>37</v>
      </c>
      <c r="D23" s="57" t="s">
        <v>153</v>
      </c>
      <c r="E23" s="124" t="s">
        <v>76</v>
      </c>
      <c r="F23" s="127" t="s">
        <v>151</v>
      </c>
      <c r="G23" s="68" t="s">
        <v>152</v>
      </c>
      <c r="H23" s="57" t="s">
        <v>24</v>
      </c>
      <c r="I23" s="116" t="s">
        <v>25</v>
      </c>
      <c r="J23" s="68" t="s">
        <v>198</v>
      </c>
      <c r="K23" s="57" t="s">
        <v>101</v>
      </c>
      <c r="L23" s="93"/>
      <c r="M23" s="94"/>
      <c r="N23" s="83"/>
      <c r="O23" s="84"/>
      <c r="T23" s="68"/>
      <c r="W23" s="82"/>
      <c r="X23" s="74">
        <f t="shared" si="5"/>
        <v>0</v>
      </c>
      <c r="Y23" s="40">
        <f t="shared" si="3"/>
        <v>0</v>
      </c>
      <c r="Z23" s="43">
        <v>1191.49</v>
      </c>
      <c r="AA23" s="48">
        <v>1600</v>
      </c>
      <c r="AB23" s="53">
        <f t="shared" si="4"/>
        <v>0</v>
      </c>
    </row>
    <row r="24" spans="1:28" ht="16" x14ac:dyDescent="0.2">
      <c r="A24" s="109"/>
      <c r="B24" s="110"/>
      <c r="C24" s="110"/>
      <c r="D24" s="57"/>
      <c r="E24" s="124"/>
      <c r="F24" s="126"/>
      <c r="G24" s="68"/>
      <c r="H24" s="57"/>
      <c r="I24" s="57"/>
      <c r="J24" s="68"/>
      <c r="K24" s="57"/>
      <c r="L24" s="92"/>
      <c r="M24" s="91"/>
      <c r="N24" s="83"/>
      <c r="O24" s="84"/>
      <c r="S24" s="95"/>
      <c r="T24" s="82"/>
      <c r="W24" s="82"/>
      <c r="X24" s="71"/>
      <c r="Y24" s="39"/>
      <c r="Z24" s="42"/>
      <c r="AA24" s="47"/>
      <c r="AB24" s="52"/>
    </row>
    <row r="25" spans="1:28" ht="17" customHeight="1" x14ac:dyDescent="0.2">
      <c r="A25" s="109"/>
      <c r="B25" s="110"/>
      <c r="C25" s="110"/>
      <c r="F25" s="122"/>
      <c r="G25" s="68"/>
      <c r="H25" s="57"/>
      <c r="I25" s="63"/>
      <c r="J25" s="68"/>
      <c r="L25" s="92"/>
      <c r="M25" s="91"/>
      <c r="N25" s="83"/>
      <c r="O25" s="84"/>
      <c r="T25" s="82"/>
      <c r="W25" s="82"/>
      <c r="X25" s="72"/>
      <c r="Y25" s="38"/>
      <c r="Z25" s="44"/>
      <c r="AA25" s="49"/>
      <c r="AB25" s="54"/>
    </row>
    <row r="26" spans="1:28" ht="16" x14ac:dyDescent="0.2">
      <c r="A26" s="113"/>
      <c r="B26" s="114"/>
      <c r="C26" s="114"/>
      <c r="F26" s="122"/>
      <c r="G26" s="68"/>
      <c r="H26" s="57"/>
      <c r="I26" s="63"/>
      <c r="J26" s="68"/>
      <c r="L26" s="93"/>
      <c r="M26" s="94"/>
      <c r="N26" s="83"/>
      <c r="O26" s="84"/>
      <c r="T26" s="68"/>
      <c r="W26" s="82"/>
      <c r="X26" s="74"/>
      <c r="Y26" s="40"/>
      <c r="Z26" s="43"/>
      <c r="AA26" s="48"/>
      <c r="AB26" s="53"/>
    </row>
    <row r="27" spans="1:28" ht="16" x14ac:dyDescent="0.2">
      <c r="A27" s="113"/>
      <c r="B27" s="114"/>
      <c r="C27" s="114"/>
      <c r="F27" s="122"/>
      <c r="G27" s="68"/>
      <c r="H27" s="57"/>
      <c r="I27" s="63"/>
      <c r="J27" s="68"/>
      <c r="L27" s="93"/>
      <c r="M27" s="94"/>
      <c r="N27" s="83"/>
      <c r="O27" s="84"/>
      <c r="T27" s="68"/>
      <c r="W27" s="82"/>
      <c r="X27" s="74"/>
      <c r="Y27" s="40"/>
      <c r="Z27" s="64"/>
      <c r="AA27" s="65"/>
      <c r="AB27" s="66"/>
    </row>
    <row r="28" spans="1:28" ht="17" thickBot="1" x14ac:dyDescent="0.25">
      <c r="A28" s="2"/>
      <c r="F28" s="128"/>
      <c r="G28" s="68"/>
      <c r="H28" s="57"/>
      <c r="I28" s="63"/>
      <c r="J28" s="68"/>
      <c r="L28" s="93"/>
      <c r="M28" s="94"/>
      <c r="N28" s="83"/>
      <c r="O28" s="84"/>
      <c r="T28" s="68"/>
      <c r="W28" s="82"/>
      <c r="X28" s="74"/>
      <c r="Y28" s="40"/>
      <c r="Z28" s="45"/>
      <c r="AA28" s="50"/>
      <c r="AB28" s="55"/>
    </row>
    <row r="29" spans="1:28" ht="20" thickBot="1" x14ac:dyDescent="0.3">
      <c r="L29" s="96"/>
      <c r="T29" s="97"/>
      <c r="U29" s="87"/>
      <c r="V29" s="97"/>
      <c r="W29" s="82"/>
      <c r="X29" s="16"/>
      <c r="Y29" s="15"/>
      <c r="Z29" s="21"/>
      <c r="AA29" s="19"/>
      <c r="AB29" s="23"/>
    </row>
    <row r="30" spans="1:28" ht="20" thickBot="1" x14ac:dyDescent="0.3">
      <c r="L30" s="98"/>
      <c r="M30" s="99"/>
      <c r="N30" s="100"/>
      <c r="S30" s="101"/>
      <c r="T30" s="68"/>
      <c r="U30" s="68"/>
      <c r="V30" s="82"/>
      <c r="W30" s="90"/>
      <c r="X30" s="13">
        <f>SUM(X3:X29)</f>
        <v>0</v>
      </c>
      <c r="Y30" s="30">
        <f>SUM(Y3:Y29)</f>
        <v>0</v>
      </c>
      <c r="Z30" s="31" t="e">
        <f>X33</f>
        <v>#DIV/0!</v>
      </c>
      <c r="AA30" s="22">
        <v>1600</v>
      </c>
      <c r="AB30" s="33">
        <v>-72000</v>
      </c>
    </row>
    <row r="31" spans="1:28" ht="20" thickBot="1" x14ac:dyDescent="0.3">
      <c r="D31"/>
      <c r="K31"/>
      <c r="L31" s="102"/>
      <c r="M31" s="103"/>
      <c r="N31" s="8"/>
      <c r="S31" s="101"/>
      <c r="T31" s="2"/>
      <c r="U31" s="2"/>
      <c r="W31" s="93"/>
      <c r="X31" s="17"/>
      <c r="Y31" s="27"/>
      <c r="Z31" s="27"/>
      <c r="AB31" s="34"/>
    </row>
    <row r="32" spans="1:28" ht="25" thickBot="1" x14ac:dyDescent="0.3">
      <c r="B32" s="7"/>
      <c r="L32" s="102"/>
      <c r="M32" s="103"/>
      <c r="N32" s="8"/>
      <c r="S32" s="101"/>
      <c r="T32" s="104"/>
      <c r="U32" s="104"/>
      <c r="V32" s="105"/>
      <c r="W32" s="106"/>
      <c r="X32" s="32">
        <f>V32-W32</f>
        <v>0</v>
      </c>
      <c r="AA32" s="24"/>
      <c r="AB32" s="35" t="s">
        <v>113</v>
      </c>
    </row>
    <row r="33" spans="2:28" ht="25" thickBot="1" x14ac:dyDescent="0.25">
      <c r="B33" s="9"/>
      <c r="S33" s="68"/>
      <c r="T33" s="104"/>
      <c r="U33" s="104"/>
      <c r="V33" s="104"/>
      <c r="W33" s="106"/>
      <c r="X33" s="77" t="e">
        <f>X32/X30</f>
        <v>#DIV/0!</v>
      </c>
      <c r="Y33" s="28"/>
      <c r="Z33" s="28"/>
      <c r="AA33" s="25"/>
      <c r="AB33" s="36" t="s">
        <v>108</v>
      </c>
    </row>
    <row r="34" spans="2:28" ht="25" thickBot="1" x14ac:dyDescent="0.25">
      <c r="B34" s="7"/>
      <c r="C34" s="10"/>
      <c r="D34" s="10"/>
      <c r="E34" s="131"/>
      <c r="F34" s="132"/>
      <c r="G34" s="10"/>
      <c r="H34" s="117"/>
      <c r="I34" s="10"/>
      <c r="J34" s="10"/>
      <c r="K34" s="10"/>
      <c r="L34" s="10"/>
      <c r="M34" s="10"/>
      <c r="N34" s="107"/>
      <c r="O34" s="107"/>
      <c r="T34" s="82"/>
      <c r="U34" s="82"/>
      <c r="V34" s="82"/>
      <c r="W34" s="108"/>
      <c r="X34" s="29"/>
      <c r="Y34" s="29"/>
      <c r="Z34" s="29"/>
      <c r="AA34" s="26"/>
      <c r="AB34" s="37" t="s">
        <v>114</v>
      </c>
    </row>
    <row r="35" spans="2:28" ht="24" x14ac:dyDescent="0.2">
      <c r="B35" s="7"/>
      <c r="C35" s="11"/>
      <c r="D35" s="11"/>
      <c r="E35" s="133"/>
      <c r="F35" s="134"/>
      <c r="G35" s="7"/>
      <c r="H35" s="118"/>
      <c r="I35" s="7"/>
      <c r="J35" s="7"/>
      <c r="K35" s="11"/>
      <c r="L35" s="11"/>
      <c r="M35" s="11"/>
      <c r="N35" s="12"/>
      <c r="O35" s="12"/>
    </row>
  </sheetData>
  <sortState xmlns:xlrd2="http://schemas.microsoft.com/office/spreadsheetml/2017/richdata2" ref="T3:T28">
    <sortCondition ref="T3:T28"/>
  </sortState>
  <phoneticPr fontId="8" type="noConversion"/>
  <hyperlinks>
    <hyperlink ref="F18" r:id="rId1" xr:uid="{9FBB118E-D446-3E4E-8548-3573ADBB6CA0}"/>
    <hyperlink ref="F6" r:id="rId2" xr:uid="{794518E1-F145-2042-8EAC-BB345986783B}"/>
    <hyperlink ref="F9" r:id="rId3" xr:uid="{0C9B24BF-6DAF-4E8B-B8B7-B7691025BFF4}"/>
    <hyperlink ref="F10" r:id="rId4" xr:uid="{60C6F863-D1DF-4456-B116-47C27DA32B74}"/>
    <hyperlink ref="F4" r:id="rId5" xr:uid="{003601B5-5F8D-FF4A-9356-8907BFDDF185}"/>
    <hyperlink ref="F22" r:id="rId6" xr:uid="{F01886F8-704B-B943-86E7-446C48F950CB}"/>
    <hyperlink ref="F3" r:id="rId7" xr:uid="{982D5A0A-66A2-6B4D-A868-93CB7CC1DF53}"/>
    <hyperlink ref="F19" r:id="rId8" xr:uid="{8CC2B12B-9526-3641-B551-C4AFF6EAA0C3}"/>
    <hyperlink ref="I4" r:id="rId9" xr:uid="{292EF80F-DC9A-E044-A537-A946ADEECE12}"/>
    <hyperlink ref="I6" r:id="rId10" xr:uid="{776BAB7E-500A-4C4F-98ED-4B9F8E0DA776}"/>
    <hyperlink ref="I7" r:id="rId11" xr:uid="{9BD64CA3-9FCF-6245-8F32-E184C166AAAD}"/>
    <hyperlink ref="F7" r:id="rId12" xr:uid="{F9405A0B-C58C-3445-AD7D-70DC2FF54827}"/>
    <hyperlink ref="I23" r:id="rId13" display="mailto:andrebissacot@remax.com.br" xr:uid="{69E3BA15-36CD-4E45-8D44-B69D3E474A68}"/>
    <hyperlink ref="I9" r:id="rId14" xr:uid="{3213A2B0-8CA1-4348-A068-B445FDE4544A}"/>
    <hyperlink ref="I10" r:id="rId15" xr:uid="{ACDEC965-5B35-9D43-8653-F905D24AE226}"/>
    <hyperlink ref="I20" r:id="rId16" xr:uid="{FE970F32-4F2A-0E4A-AB6F-F9F551C0219A}"/>
    <hyperlink ref="I22" r:id="rId17" xr:uid="{734F1793-1B6D-9C4D-AE7D-CDCA958E8C6C}"/>
    <hyperlink ref="I18" r:id="rId18" xr:uid="{16A590AA-88BE-074F-83E6-EE0CB97FBF47}"/>
    <hyperlink ref="I14" r:id="rId19" xr:uid="{E1828BC3-982D-C945-87F0-61F9F73E3E3C}"/>
    <hyperlink ref="I15" r:id="rId20" xr:uid="{6CD6ED0E-7A51-7D42-9A15-E7745EFC0E7A}"/>
    <hyperlink ref="F14" r:id="rId21" xr:uid="{C25F654A-D4A8-5F42-BF7A-BDA41895A541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6EEB-13BC-42EB-8C11-B399DA50081F}">
  <dimension ref="A1:A5"/>
  <sheetViews>
    <sheetView workbookViewId="0">
      <selection sqref="A1:A5"/>
    </sheetView>
  </sheetViews>
  <sheetFormatPr baseColWidth="10" defaultColWidth="8.83203125" defaultRowHeight="15" x14ac:dyDescent="0.2"/>
  <cols>
    <col min="1" max="1" width="13.33203125" bestFit="1" customWidth="1"/>
  </cols>
  <sheetData>
    <row r="1" spans="1:1" x14ac:dyDescent="0.2">
      <c r="A1" t="s">
        <v>7</v>
      </c>
    </row>
    <row r="2" spans="1:1" x14ac:dyDescent="0.2">
      <c r="A2" s="2">
        <v>1</v>
      </c>
    </row>
    <row r="3" spans="1:1" x14ac:dyDescent="0.2">
      <c r="A3" s="2">
        <v>2</v>
      </c>
    </row>
    <row r="4" spans="1:1" x14ac:dyDescent="0.2">
      <c r="A4" s="2">
        <v>3</v>
      </c>
    </row>
    <row r="5" spans="1:1" x14ac:dyDescent="0.2">
      <c r="A5" s="2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MFR SANTA CATARINA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Qualidade</dc:creator>
  <cp:lastModifiedBy>Acram Rajab - RE/MAX Residence</cp:lastModifiedBy>
  <dcterms:created xsi:type="dcterms:W3CDTF">2022-03-15T17:19:18Z</dcterms:created>
  <dcterms:modified xsi:type="dcterms:W3CDTF">2026-05-11T02:09:28Z</dcterms:modified>
</cp:coreProperties>
</file>