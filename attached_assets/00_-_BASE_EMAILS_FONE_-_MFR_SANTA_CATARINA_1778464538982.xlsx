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cramrajab/Library/Mobile Documents/com~apple~CloudDocs/KPI'S/"/>
    </mc:Choice>
  </mc:AlternateContent>
  <xr:revisionPtr revIDLastSave="0" documentId="13_ncr:1_{BD6F123E-5773-0F49-B7A3-09942C73051F}" xr6:coauthVersionLast="47" xr6:coauthVersionMax="47" xr10:uidLastSave="{00000000-0000-0000-0000-000000000000}"/>
  <bookViews>
    <workbookView xWindow="20" yWindow="520" windowWidth="25600" windowHeight="14860" xr2:uid="{3026D263-16A9-475A-8BED-C02DD5548073}"/>
  </bookViews>
  <sheets>
    <sheet name="MFR SANTA CATARINA" sheetId="1" r:id="rId1"/>
    <sheet name="Planilha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4" i="1" l="1"/>
  <c r="V4" i="1"/>
  <c r="Y4" i="1"/>
  <c r="U16" i="1"/>
  <c r="V16" i="1" s="1"/>
  <c r="U18" i="1"/>
  <c r="V18" i="1" s="1"/>
  <c r="V19" i="1"/>
  <c r="Y19" i="1"/>
  <c r="U20" i="1"/>
  <c r="V20" i="1" s="1"/>
  <c r="U24" i="1"/>
  <c r="V24" i="1" s="1"/>
  <c r="U30" i="1"/>
  <c r="V30" i="1" s="1"/>
  <c r="Y7" i="1"/>
  <c r="Y21" i="1"/>
  <c r="Y22" i="1"/>
  <c r="Y28" i="1"/>
  <c r="Y29" i="1"/>
  <c r="T36" i="1"/>
  <c r="T35" i="1" s="1"/>
  <c r="V29" i="1"/>
  <c r="V21" i="1"/>
  <c r="V22" i="1"/>
  <c r="V2" i="1"/>
  <c r="U27" i="1"/>
  <c r="V27" i="1" s="1"/>
  <c r="Y18" i="1" l="1"/>
  <c r="Y16" i="1"/>
  <c r="Y20" i="1"/>
  <c r="Y24" i="1"/>
  <c r="Y30" i="1"/>
  <c r="V7" i="1"/>
  <c r="Y27" i="1"/>
  <c r="S33" i="1"/>
  <c r="U3" i="1"/>
  <c r="U5" i="1"/>
  <c r="U6" i="1"/>
  <c r="U8" i="1"/>
  <c r="U9" i="1"/>
  <c r="U10" i="1"/>
  <c r="U11" i="1"/>
  <c r="U13" i="1"/>
  <c r="U15" i="1"/>
  <c r="U17" i="1"/>
  <c r="U23" i="1"/>
  <c r="U25" i="1"/>
  <c r="Y25" i="1" s="1"/>
  <c r="U26" i="1"/>
  <c r="Y26" i="1" s="1"/>
  <c r="U31" i="1"/>
  <c r="R36" i="1"/>
  <c r="P35" i="1" s="1"/>
  <c r="K34" i="1"/>
  <c r="K33" i="1"/>
  <c r="T34" i="1" l="1"/>
  <c r="S35" i="1"/>
  <c r="U35" i="1" s="1"/>
  <c r="V10" i="1"/>
  <c r="Y10" i="1"/>
  <c r="V31" i="1"/>
  <c r="Y31" i="1"/>
  <c r="V9" i="1"/>
  <c r="Y9" i="1"/>
  <c r="V6" i="1"/>
  <c r="Y6" i="1"/>
  <c r="V5" i="1"/>
  <c r="Y5" i="1"/>
  <c r="V23" i="1"/>
  <c r="Y23" i="1"/>
  <c r="V12" i="1"/>
  <c r="Y12" i="1"/>
  <c r="V3" i="1"/>
  <c r="Y3" i="1"/>
  <c r="U33" i="1"/>
  <c r="V17" i="1"/>
  <c r="Y17" i="1"/>
  <c r="V8" i="1"/>
  <c r="Y8" i="1"/>
  <c r="V15" i="1"/>
  <c r="Y15" i="1"/>
  <c r="V14" i="1"/>
  <c r="Y14" i="1"/>
  <c r="V13" i="1"/>
  <c r="Y13" i="1"/>
  <c r="V11" i="1"/>
  <c r="Y11" i="1"/>
  <c r="V26" i="1"/>
  <c r="V25" i="1"/>
  <c r="P33" i="1"/>
  <c r="P34" i="1"/>
  <c r="U36" i="1" l="1"/>
  <c r="W33" i="1"/>
  <c r="V33" i="1"/>
</calcChain>
</file>

<file path=xl/sharedStrings.xml><?xml version="1.0" encoding="utf-8"?>
<sst xmlns="http://schemas.openxmlformats.org/spreadsheetml/2006/main" count="327" uniqueCount="237">
  <si>
    <t>RE/MAX ARVOREDO</t>
  </si>
  <si>
    <t>RE/MAX BRAVO BEACH</t>
  </si>
  <si>
    <t>RE/MAX DREAM ON</t>
  </si>
  <si>
    <t>RE/MAX FONTE</t>
  </si>
  <si>
    <t>RE/MAX GOLDEN EAGLE</t>
  </si>
  <si>
    <t>RE/MAX MK</t>
  </si>
  <si>
    <t xml:space="preserve">RE/MAX OESTE I </t>
  </si>
  <si>
    <t>RE/MAX OESTE II</t>
  </si>
  <si>
    <t>RE/MAX SERRANA</t>
  </si>
  <si>
    <t>RE/MAX INFINITY PRO I</t>
  </si>
  <si>
    <t>RE/MAX PRIORITY I</t>
  </si>
  <si>
    <t>RE/MAX VIVALLE I</t>
  </si>
  <si>
    <t>NOTAS EIXO Y</t>
  </si>
  <si>
    <t>RE/MAX VALLEY</t>
  </si>
  <si>
    <t>RE/MAX CRISTAL</t>
  </si>
  <si>
    <t>RE/MAX DREAM ON II</t>
  </si>
  <si>
    <t>RE/MAX SEA</t>
  </si>
  <si>
    <t>RE/MAX INSPIRACAO</t>
  </si>
  <si>
    <t>RE/MAX ASSERTIVA</t>
  </si>
  <si>
    <t>RE/MAX JUST BELIEVE</t>
  </si>
  <si>
    <t>RE/MAX MIND SET</t>
  </si>
  <si>
    <t>RE.MAX NORTH</t>
  </si>
  <si>
    <t>KPIS</t>
  </si>
  <si>
    <t>RE/MAX VITA</t>
  </si>
  <si>
    <t>GABRIELA PEREIRA</t>
  </si>
  <si>
    <t>gabriela.pereira@remax.com.br</t>
  </si>
  <si>
    <t>ISABEL QUEROL</t>
  </si>
  <si>
    <t>Isabelquerol@remax.com.br</t>
  </si>
  <si>
    <t>Jaqueragnini@remax.com.br</t>
  </si>
  <si>
    <t>JOICE PORTO</t>
  </si>
  <si>
    <t>JAQUELINE RAGNINI</t>
  </si>
  <si>
    <t>joiceporto@remax.com.br</t>
  </si>
  <si>
    <t>48 98827-0253</t>
  </si>
  <si>
    <t>BRUNO HERNANDES</t>
  </si>
  <si>
    <t>bruno.hernandes@remax.com.br</t>
  </si>
  <si>
    <t>ROMULO PAULO DE OLIVEIRA</t>
  </si>
  <si>
    <t>romulopaulo@remax.com.br</t>
  </si>
  <si>
    <t>ELISANGELA PEREIRA LEITE</t>
  </si>
  <si>
    <t>elisangelasteinback@remax.com.br</t>
  </si>
  <si>
    <t>47 9 9993-7104</t>
  </si>
  <si>
    <t>jhenifferceratto@remax.com.br</t>
  </si>
  <si>
    <t>GUSTAVO JURY SCHALDACH</t>
  </si>
  <si>
    <t>gustavo.jury@remax.com.br</t>
  </si>
  <si>
    <t>47 99168-1190</t>
  </si>
  <si>
    <t>JEAN MANN</t>
  </si>
  <si>
    <t>jeanmann@remax.com.br</t>
  </si>
  <si>
    <t>EDUARDA HICKMANN</t>
  </si>
  <si>
    <t>eduardahickmann@remax.com.br</t>
  </si>
  <si>
    <t>JEAN VICTOR</t>
  </si>
  <si>
    <t>jeanvictor@remax.com.br</t>
  </si>
  <si>
    <t>NOME</t>
  </si>
  <si>
    <t>EMAIL</t>
  </si>
  <si>
    <t>FONE</t>
  </si>
  <si>
    <t>lucasdesouza@remax.com.br</t>
  </si>
  <si>
    <t>ISABELLE DE MORAES</t>
  </si>
  <si>
    <t>isabellemoraes@remax.com.br</t>
  </si>
  <si>
    <t>Andreestevam@remaxcom.br</t>
  </si>
  <si>
    <t>ANDRE ESTEVAM</t>
  </si>
  <si>
    <t>Leonardorodrigo@remax.com.br</t>
  </si>
  <si>
    <t xml:space="preserve">LEONARDO RODRIGO DA SILVA </t>
  </si>
  <si>
    <t>ANDRE BISSACOT</t>
  </si>
  <si>
    <t>andrebissacot@remax.com.br</t>
  </si>
  <si>
    <t>49 99197 1208</t>
  </si>
  <si>
    <t>larissals@remax.com.br</t>
  </si>
  <si>
    <t>LARISSA LEANDRA SAGÁS</t>
  </si>
  <si>
    <t>48 3014 0888</t>
  </si>
  <si>
    <t>LUCAS APOLONIO DE SOUZA</t>
  </si>
  <si>
    <t>JHENNIFER KELLYN CERATTO</t>
  </si>
  <si>
    <t>SUELI HERMANN</t>
  </si>
  <si>
    <t>suelihermann@remax.com.br</t>
  </si>
  <si>
    <t>48 99695 6532</t>
  </si>
  <si>
    <t>49 99999-9983</t>
  </si>
  <si>
    <t>48 98821-0046</t>
  </si>
  <si>
    <t>47 99280-1610</t>
  </si>
  <si>
    <t>48 99620 0765</t>
  </si>
  <si>
    <t>49 99925 6933</t>
  </si>
  <si>
    <t>54 99644 1516</t>
  </si>
  <si>
    <t>48 99625 4706</t>
  </si>
  <si>
    <t>47 99224 9506</t>
  </si>
  <si>
    <t>48-99208 7956</t>
  </si>
  <si>
    <t>47 98849 4019</t>
  </si>
  <si>
    <t>47 99916 0635</t>
  </si>
  <si>
    <t>41 99937 1323</t>
  </si>
  <si>
    <t>47 99618 1640</t>
  </si>
  <si>
    <t>VANESSA SOUZA</t>
  </si>
  <si>
    <t>49 99999 7923</t>
  </si>
  <si>
    <t>vanessadesouza@remax.com.br</t>
  </si>
  <si>
    <t>RE/MAX LOTE 8</t>
  </si>
  <si>
    <t>JOINVILLE</t>
  </si>
  <si>
    <t>ITAJAÍ</t>
  </si>
  <si>
    <t>BALNEARIO GAIVOTAS</t>
  </si>
  <si>
    <t>BALNEARIO PICARRAS</t>
  </si>
  <si>
    <t>JOACABA</t>
  </si>
  <si>
    <t>NAVEGANTES</t>
  </si>
  <si>
    <t>TIMBÓ</t>
  </si>
  <si>
    <t>LAGES</t>
  </si>
  <si>
    <t>ITAPEMA</t>
  </si>
  <si>
    <t>CRICIUMA</t>
  </si>
  <si>
    <t>ARARANGUA</t>
  </si>
  <si>
    <t>XANXERE</t>
  </si>
  <si>
    <t>CHAPECÓ</t>
  </si>
  <si>
    <t>BLUMENAU</t>
  </si>
  <si>
    <t>FORIANOPOLIS - ESTREITO</t>
  </si>
  <si>
    <t>TUBARAO</t>
  </si>
  <si>
    <t>FLORIANOPOLIS - CENTRO</t>
  </si>
  <si>
    <t>INDAIAL</t>
  </si>
  <si>
    <t>FLORIANOPOLIS - JURERE</t>
  </si>
  <si>
    <t>BALNEARIO CAMBORIU</t>
  </si>
  <si>
    <t>ITAJAI</t>
  </si>
  <si>
    <t>XAXIM</t>
  </si>
  <si>
    <t>GOVERNADOR CELSO RAMOS</t>
  </si>
  <si>
    <t>JARAGUA DO SUL</t>
  </si>
  <si>
    <t>CIDADE</t>
  </si>
  <si>
    <t>47 991222323</t>
  </si>
  <si>
    <t>RE/MAX SHELTER</t>
  </si>
  <si>
    <t>RAMON MORBINI</t>
  </si>
  <si>
    <t>RHUAN MAXIMILIANO</t>
  </si>
  <si>
    <t>ramonmorbini@gmail.com</t>
  </si>
  <si>
    <t>54 99980 8067</t>
  </si>
  <si>
    <t>SUMMIT</t>
  </si>
  <si>
    <t>SIM</t>
  </si>
  <si>
    <t>NÃO</t>
  </si>
  <si>
    <t>UF</t>
  </si>
  <si>
    <t>RE/MAX BRIDGE</t>
  </si>
  <si>
    <t xml:space="preserve">RAQUEL </t>
  </si>
  <si>
    <t>48 99154-5125</t>
  </si>
  <si>
    <t>raquelkremer@remax.com.br</t>
  </si>
  <si>
    <t>FLORIANOPOLIS - INGLESES</t>
  </si>
  <si>
    <t>AGENDA PÓS SUMMIT</t>
  </si>
  <si>
    <t>HORA</t>
  </si>
  <si>
    <t>rhuanmaximiano@remax.com.br</t>
  </si>
  <si>
    <t>RE/MAX SOMA PRIME</t>
  </si>
  <si>
    <t>CRISTIAN CERON</t>
  </si>
  <si>
    <t>cristianceron@remax.com.br</t>
  </si>
  <si>
    <t>55 99166 1450</t>
  </si>
  <si>
    <t>CNPJ</t>
  </si>
  <si>
    <t>PORTO BELO</t>
  </si>
  <si>
    <t>LUISA SALGADO</t>
  </si>
  <si>
    <t>47 99634 9455</t>
  </si>
  <si>
    <t>luisasalgado@remax.com.br</t>
  </si>
  <si>
    <t>46.425.018/0001-36</t>
  </si>
  <si>
    <t>00.384.092/0001-50</t>
  </si>
  <si>
    <t>42.292.361/0001-07</t>
  </si>
  <si>
    <t>09.077.783/0002-67</t>
  </si>
  <si>
    <t>58.257.708/0001-02</t>
  </si>
  <si>
    <t>81.350.795/0001-60</t>
  </si>
  <si>
    <t>37.304.683/0001-80</t>
  </si>
  <si>
    <t>48.010.825/0001-13</t>
  </si>
  <si>
    <t>41.682.172/0001-70</t>
  </si>
  <si>
    <t>50.379.024/0001-71</t>
  </si>
  <si>
    <t>39.400.772/0001-56</t>
  </si>
  <si>
    <t>49149375-0001/07</t>
  </si>
  <si>
    <t>52.685.833/0001-37</t>
  </si>
  <si>
    <t>46.772.571/0001-45</t>
  </si>
  <si>
    <t>55.817.617/0001-96</t>
  </si>
  <si>
    <t>33.327.076/0001-85</t>
  </si>
  <si>
    <t>54.404.278/0001-53</t>
  </si>
  <si>
    <t>38.267.150/0001-39</t>
  </si>
  <si>
    <t>gracielafilippini@remax.com.br</t>
  </si>
  <si>
    <t>GRACIELA FILIPPINI</t>
  </si>
  <si>
    <t>49 99964-9044</t>
  </si>
  <si>
    <t>ricardorosa@remax.com.br</t>
  </si>
  <si>
    <t>RICARDO DA ROSA</t>
  </si>
  <si>
    <t>49 99978-0241</t>
  </si>
  <si>
    <t>21.976.890/0001-41</t>
  </si>
  <si>
    <t>17.268.320/0001-20</t>
  </si>
  <si>
    <t>45.372.052/0001-27</t>
  </si>
  <si>
    <t>46.793.326/0001-14</t>
  </si>
  <si>
    <t>44.143.505/0001-80</t>
  </si>
  <si>
    <t>42.084.117/0001-40</t>
  </si>
  <si>
    <t>28.141.183/0001-84</t>
  </si>
  <si>
    <t>28.970.126/0001-08</t>
  </si>
  <si>
    <t>39.961.863/0001-60</t>
  </si>
  <si>
    <t>57.168.117/0001-04</t>
  </si>
  <si>
    <t>RE/MAX SUBLIME GROWTH</t>
  </si>
  <si>
    <t>ENDEREÇO</t>
  </si>
  <si>
    <t>Av. Patrocínio Manoel dos Santos, 1516 - Palmas, Gov. Celso Ramos - SC, 88190-000</t>
  </si>
  <si>
    <t>Edifício Tom Jobim - Av. Júlio Lunardi, 1017 - Centro, Xaxim - SC, 89825-000</t>
  </si>
  <si>
    <t>R. 1536, 121 - loja 01 - Centro, Balneário Camboriú - SC, 88330-610</t>
  </si>
  <si>
    <t xml:space="preserve">Rua 13 de Maio, 270 - sala 02, Bairro Czerniewcz, Jaraguá do Sul - SC, 89255-400 </t>
  </si>
  <si>
    <t>Av. Cel. Marcos Konder, 805 - Centro, Itajaí - SC, 88301-303</t>
  </si>
  <si>
    <t>Av. Carlos Drummond de Andrade, 813 - Praia dos Amores, Itajaí - SC, 88331-410</t>
  </si>
  <si>
    <t>Rod. Armando Calil Bulos, 6288 - sala 02 - 2º andar dentro do CDL - Ingleses - Florianópolis - CEP: 88058-001</t>
  </si>
  <si>
    <t>Av. dos Búzios, 1889 - Jurerê, Florianópolis - SC, 88053-301</t>
  </si>
  <si>
    <t>alexandrerodarte@remax.com.br</t>
  </si>
  <si>
    <t>ALEXANDRE RODARTE</t>
  </si>
  <si>
    <t>48 98843-2283</t>
  </si>
  <si>
    <t>Rua Eupidio da Rocha, Nº 78, Casa 01, Campeche – Florianópolis/SC</t>
  </si>
  <si>
    <t>ELVONI JÚNIOR PIAIA</t>
  </si>
  <si>
    <t>epiaia@remax.com.br</t>
  </si>
  <si>
    <t>47 99173-1106</t>
  </si>
  <si>
    <t>R. 282, 100 - Meia Praia, Itapema - SC, 88220-000</t>
  </si>
  <si>
    <t>R. Mal. Floriano Peixoto, 365 - sala 02 - Centro, Indaial - SC, 89130-000</t>
  </si>
  <si>
    <t>R. Gen. Bittencourt, 603 - Centro, Florianópolis - SC, 88020-100</t>
  </si>
  <si>
    <t>R. Padre Geraldo Spettmann, 323 - Humaitá, Tubarão - SC, 88704-350</t>
  </si>
  <si>
    <t>R. Werner Duwe, 145 - Badenfurt, Blumenau - SC, 89074-001</t>
  </si>
  <si>
    <t>Av. Emanuel Pinto, 2169, sala 4, Balneário Piçarras - SC, 88380-000</t>
  </si>
  <si>
    <t>Av. Fernando Machado, 141 - Sala 807 - Centro, Chapecó - SC, 89802-112</t>
  </si>
  <si>
    <t>Av. La Salle, 703 - La Salle, Xanxerê - SC, 89820-000</t>
  </si>
  <si>
    <t>R. Caetano Lummertz, 723 - Centro, Araranguá - SC, 88900-045</t>
  </si>
  <si>
    <t>R. São José, 485 - Centro, Criciúma - SC, 88801-520</t>
  </si>
  <si>
    <t>Rua 236, 203 - sala 2 - Meia Praia, Itapema - SC, 88220-000</t>
  </si>
  <si>
    <t>R. Estados Unidos, 79 - Centro, Timbó - SC, 89120-000</t>
  </si>
  <si>
    <t>SHEILA MORITZ</t>
  </si>
  <si>
    <t>41 99983 7820</t>
  </si>
  <si>
    <t>sheilamm@remax.com.br</t>
  </si>
  <si>
    <t>Avenida, Av. José Alcebiades Laurentino, n°612 - Centro, Navegantes - SC, 88370-308</t>
  </si>
  <si>
    <t>Rua Honorato Ramos, 152 - Centro, Lages - SC, 88502-035</t>
  </si>
  <si>
    <t>R. Getúlio Vargas, 226 - Centro, Joaçaba - SC, 89600-000</t>
  </si>
  <si>
    <t>Av. Santa Catarina, 635, sala 103, Centro, Balneário Gaivota - SC, 88955-000</t>
  </si>
  <si>
    <t>R. José de Picolli Mattei, 101 - Costa e Silva, Joinville - SC, 89218-523</t>
  </si>
  <si>
    <t>R. General Liberato Bittencourt, n° 1475, Sala 113, Estreito, Florianópolis/SC, 88075-400</t>
  </si>
  <si>
    <t>R. Consul Carlos Renaux 130, bloco A, apto 502, Cabeçudas , Itajaí - SC</t>
  </si>
  <si>
    <t>Av. Normando Tedesco, 1315 - Barra Sul, Balneário Camboriú - SC, 88330-123</t>
  </si>
  <si>
    <t xml:space="preserve">RE/MAX INVEST COAST </t>
  </si>
  <si>
    <t>RE/MAX INVEST COAST</t>
  </si>
  <si>
    <t>RE/MAX DREAM ON III</t>
  </si>
  <si>
    <t>RE/MAX NORTH</t>
  </si>
  <si>
    <t>RE/MAX LEGADO</t>
  </si>
  <si>
    <t>CONFIRMADAS</t>
  </si>
  <si>
    <t>NÃO INSCRITAS</t>
  </si>
  <si>
    <t>INSCRITOS</t>
  </si>
  <si>
    <t>TOTAL DE UF</t>
  </si>
  <si>
    <t>FALTA</t>
  </si>
  <si>
    <t>A PAGAR</t>
  </si>
  <si>
    <t>COMPR0MISSO</t>
  </si>
  <si>
    <t>VALOR NO SHOW</t>
  </si>
  <si>
    <t>$</t>
  </si>
  <si>
    <t>PROPORCIONAL</t>
  </si>
  <si>
    <t xml:space="preserve">RE/MAX DREAM ON I </t>
  </si>
  <si>
    <t>RE/MAX INSPIRACÃO</t>
  </si>
  <si>
    <t xml:space="preserve">RE/MAX LEGADO </t>
  </si>
  <si>
    <t>TOTAL EM R$</t>
  </si>
  <si>
    <t>INGRESSOS POR UF</t>
  </si>
  <si>
    <t>OK</t>
  </si>
  <si>
    <t>NÃO INSCRITO</t>
  </si>
  <si>
    <t>RE/MAX DREAM ON III (amizade)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</si>
</sst>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4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4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4"/>
      <name val="Calibri"/>
      <family val="2"/>
      <scheme val="minor"/>
    </font>
    <font>
      <sz val="12"/>
      <color rgb="FF0070C0"/>
      <name val="Calibri"/>
      <family val="2"/>
      <scheme val="minor"/>
    </font>
    <font>
      <sz val="14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8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10" fillId="0" borderId="1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10" fontId="10" fillId="0" borderId="1" xfId="2" applyNumberFormat="1" applyFont="1" applyBorder="1"/>
    <xf numFmtId="0" fontId="11" fillId="0" borderId="3" xfId="0" applyFont="1" applyBorder="1" applyAlignment="1">
      <alignment horizontal="center"/>
    </xf>
    <xf numFmtId="0" fontId="11" fillId="0" borderId="8" xfId="0" applyFont="1" applyBorder="1" applyAlignment="1">
      <alignment horizontal="center" vertical="center"/>
    </xf>
    <xf numFmtId="10" fontId="11" fillId="0" borderId="3" xfId="2" applyNumberFormat="1" applyFont="1" applyBorder="1"/>
    <xf numFmtId="0" fontId="12" fillId="0" borderId="0" xfId="0" applyFont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6" fillId="0" borderId="0" xfId="0" applyFont="1"/>
    <xf numFmtId="20" fontId="0" fillId="0" borderId="2" xfId="0" applyNumberFormat="1" applyBorder="1"/>
    <xf numFmtId="20" fontId="0" fillId="2" borderId="2" xfId="0" applyNumberFormat="1" applyFill="1" applyBorder="1"/>
    <xf numFmtId="20" fontId="0" fillId="2" borderId="3" xfId="0" applyNumberFormat="1" applyFill="1" applyBorder="1"/>
    <xf numFmtId="0" fontId="0" fillId="0" borderId="6" xfId="0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/>
    </xf>
    <xf numFmtId="0" fontId="5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6" fillId="2" borderId="6" xfId="0" applyFont="1" applyFill="1" applyBorder="1" applyAlignment="1">
      <alignment horizontal="left"/>
    </xf>
    <xf numFmtId="0" fontId="6" fillId="0" borderId="6" xfId="0" applyFont="1" applyBorder="1"/>
    <xf numFmtId="0" fontId="6" fillId="2" borderId="6" xfId="0" applyFont="1" applyFill="1" applyBorder="1"/>
    <xf numFmtId="0" fontId="9" fillId="0" borderId="6" xfId="0" applyFont="1" applyBorder="1"/>
    <xf numFmtId="0" fontId="9" fillId="2" borderId="6" xfId="0" applyFont="1" applyFill="1" applyBorder="1"/>
    <xf numFmtId="0" fontId="0" fillId="0" borderId="4" xfId="0" applyBorder="1" applyAlignment="1">
      <alignment horizontal="center" vertical="center" wrapText="1"/>
    </xf>
    <xf numFmtId="16" fontId="0" fillId="2" borderId="6" xfId="0" applyNumberFormat="1" applyFill="1" applyBorder="1"/>
    <xf numFmtId="16" fontId="0" fillId="0" borderId="6" xfId="0" applyNumberFormat="1" applyBorder="1"/>
    <xf numFmtId="16" fontId="0" fillId="2" borderId="7" xfId="0" applyNumberFormat="1" applyFill="1" applyBorder="1"/>
    <xf numFmtId="0" fontId="6" fillId="0" borderId="6" xfId="0" applyFont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2" borderId="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6" fillId="0" borderId="6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6" fillId="3" borderId="6" xfId="0" applyFont="1" applyFill="1" applyBorder="1"/>
    <xf numFmtId="16" fontId="0" fillId="3" borderId="6" xfId="0" applyNumberFormat="1" applyFill="1" applyBorder="1"/>
    <xf numFmtId="20" fontId="0" fillId="3" borderId="2" xfId="0" applyNumberFormat="1" applyFill="1" applyBorder="1"/>
    <xf numFmtId="0" fontId="9" fillId="3" borderId="6" xfId="0" applyFont="1" applyFill="1" applyBorder="1"/>
    <xf numFmtId="44" fontId="16" fillId="0" borderId="0" xfId="3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10" fontId="11" fillId="0" borderId="0" xfId="2" applyNumberFormat="1" applyFont="1" applyFill="1" applyBorder="1"/>
    <xf numFmtId="1" fontId="16" fillId="0" borderId="0" xfId="3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9" fontId="14" fillId="0" borderId="0" xfId="0" applyNumberFormat="1" applyFont="1" applyAlignment="1">
      <alignment horizontal="center" vertical="center"/>
    </xf>
    <xf numFmtId="44" fontId="16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16" fillId="0" borderId="0" xfId="2" applyFont="1" applyFill="1" applyBorder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0" fontId="18" fillId="0" borderId="2" xfId="0" applyFont="1" applyBorder="1" applyAlignment="1">
      <alignment vertical="center"/>
    </xf>
    <xf numFmtId="0" fontId="18" fillId="0" borderId="2" xfId="1" applyFont="1" applyFill="1" applyBorder="1" applyAlignment="1">
      <alignment horizontal="left" vertical="center"/>
    </xf>
    <xf numFmtId="0" fontId="18" fillId="0" borderId="2" xfId="1" applyFont="1" applyFill="1" applyBorder="1"/>
    <xf numFmtId="0" fontId="18" fillId="0" borderId="2" xfId="1" applyFont="1" applyBorder="1" applyAlignment="1">
      <alignment horizontal="left" vertical="center"/>
    </xf>
    <xf numFmtId="0" fontId="18" fillId="0" borderId="3" xfId="1" applyFont="1" applyFill="1" applyBorder="1" applyAlignment="1">
      <alignment vertical="center"/>
    </xf>
    <xf numFmtId="0" fontId="9" fillId="2" borderId="7" xfId="0" applyFont="1" applyFill="1" applyBorder="1" applyAlignment="1">
      <alignment vertical="center"/>
    </xf>
    <xf numFmtId="0" fontId="0" fillId="3" borderId="6" xfId="0" applyFill="1" applyBorder="1"/>
    <xf numFmtId="0" fontId="0" fillId="3" borderId="7" xfId="0" applyFill="1" applyBorder="1"/>
    <xf numFmtId="0" fontId="0" fillId="3" borderId="6" xfId="0" applyFill="1" applyBorder="1" applyAlignment="1">
      <alignment horizontal="left"/>
    </xf>
    <xf numFmtId="0" fontId="0" fillId="4" borderId="6" xfId="0" applyFill="1" applyBorder="1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0" fillId="0" borderId="15" xfId="0" applyBorder="1" applyAlignment="1">
      <alignment horizontal="left"/>
    </xf>
    <xf numFmtId="0" fontId="0" fillId="6" borderId="15" xfId="0" applyFill="1" applyBorder="1" applyAlignment="1">
      <alignment horizontal="left"/>
    </xf>
    <xf numFmtId="0" fontId="1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4" fillId="0" borderId="26" xfId="0" applyFont="1" applyBorder="1"/>
    <xf numFmtId="0" fontId="9" fillId="0" borderId="26" xfId="0" applyFont="1" applyBorder="1" applyAlignment="1">
      <alignment horizontal="center" vertical="center"/>
    </xf>
    <xf numFmtId="164" fontId="0" fillId="0" borderId="0" xfId="0" applyNumberFormat="1"/>
    <xf numFmtId="164" fontId="7" fillId="0" borderId="1" xfId="3" applyNumberFormat="1" applyFont="1" applyBorder="1" applyAlignment="1">
      <alignment horizontal="center" vertical="center"/>
    </xf>
    <xf numFmtId="164" fontId="3" fillId="0" borderId="3" xfId="3" applyNumberFormat="1" applyFon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4" fillId="0" borderId="12" xfId="0" applyFont="1" applyBorder="1"/>
    <xf numFmtId="0" fontId="6" fillId="0" borderId="17" xfId="0" applyFont="1" applyBorder="1" applyAlignment="1">
      <alignment horizontal="left"/>
    </xf>
    <xf numFmtId="0" fontId="6" fillId="0" borderId="20" xfId="0" applyFont="1" applyBorder="1" applyAlignment="1">
      <alignment horizontal="center"/>
    </xf>
    <xf numFmtId="0" fontId="0" fillId="8" borderId="15" xfId="0" applyFill="1" applyBorder="1" applyAlignment="1">
      <alignment horizontal="left"/>
    </xf>
    <xf numFmtId="0" fontId="1" fillId="8" borderId="23" xfId="0" applyFont="1" applyFill="1" applyBorder="1" applyAlignment="1">
      <alignment horizontal="center" vertical="center"/>
    </xf>
    <xf numFmtId="0" fontId="9" fillId="8" borderId="18" xfId="0" applyFont="1" applyFill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9" fontId="0" fillId="0" borderId="24" xfId="2" applyFont="1" applyBorder="1" applyAlignment="1">
      <alignment horizontal="center" vertical="center"/>
    </xf>
    <xf numFmtId="9" fontId="0" fillId="0" borderId="31" xfId="2" applyFont="1" applyBorder="1" applyAlignment="1">
      <alignment horizontal="center" vertical="center"/>
    </xf>
    <xf numFmtId="9" fontId="0" fillId="0" borderId="19" xfId="2" applyFont="1" applyBorder="1" applyAlignment="1">
      <alignment horizontal="center" vertical="center"/>
    </xf>
    <xf numFmtId="0" fontId="0" fillId="6" borderId="3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3" borderId="9" xfId="0" applyFill="1" applyBorder="1" applyAlignment="1">
      <alignment horizontal="center" vertical="center"/>
    </xf>
    <xf numFmtId="0" fontId="4" fillId="0" borderId="3" xfId="0" applyFont="1" applyBorder="1"/>
    <xf numFmtId="164" fontId="0" fillId="3" borderId="4" xfId="0" applyNumberFormat="1" applyFill="1" applyBorder="1" applyAlignment="1">
      <alignment horizontal="center" vertical="center"/>
    </xf>
    <xf numFmtId="164" fontId="0" fillId="6" borderId="27" xfId="0" applyNumberFormat="1" applyFill="1" applyBorder="1" applyAlignment="1">
      <alignment horizontal="center" vertical="center"/>
    </xf>
    <xf numFmtId="164" fontId="0" fillId="7" borderId="7" xfId="0" applyNumberForma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right"/>
    </xf>
    <xf numFmtId="0" fontId="0" fillId="3" borderId="19" xfId="0" applyFill="1" applyBorder="1" applyAlignment="1">
      <alignment horizontal="right"/>
    </xf>
    <xf numFmtId="49" fontId="0" fillId="5" borderId="19" xfId="0" applyNumberFormat="1" applyFill="1" applyBorder="1" applyAlignment="1">
      <alignment horizontal="right"/>
    </xf>
    <xf numFmtId="0" fontId="0" fillId="0" borderId="19" xfId="0" applyBorder="1" applyAlignment="1">
      <alignment horizontal="right"/>
    </xf>
    <xf numFmtId="0" fontId="0" fillId="0" borderId="20" xfId="0" applyBorder="1" applyAlignment="1">
      <alignment horizontal="right"/>
    </xf>
    <xf numFmtId="0" fontId="1" fillId="3" borderId="14" xfId="0" applyFont="1" applyFill="1" applyBorder="1" applyAlignment="1">
      <alignment horizontal="center"/>
    </xf>
    <xf numFmtId="0" fontId="1" fillId="6" borderId="14" xfId="0" applyFon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1" fillId="6" borderId="14" xfId="0" applyFont="1" applyFill="1" applyBorder="1" applyAlignment="1">
      <alignment horizontal="center" vertical="center"/>
    </xf>
    <xf numFmtId="0" fontId="0" fillId="6" borderId="14" xfId="0" applyFill="1" applyBorder="1" applyAlignment="1">
      <alignment horizontal="center"/>
    </xf>
    <xf numFmtId="0" fontId="0" fillId="7" borderId="14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6" fillId="0" borderId="16" xfId="0" applyFont="1" applyBorder="1" applyAlignment="1">
      <alignment horizontal="center"/>
    </xf>
    <xf numFmtId="44" fontId="9" fillId="0" borderId="0" xfId="3" applyFont="1" applyBorder="1"/>
    <xf numFmtId="44" fontId="0" fillId="0" borderId="0" xfId="0" applyNumberFormat="1"/>
    <xf numFmtId="2" fontId="0" fillId="0" borderId="8" xfId="0" applyNumberFormat="1" applyBorder="1" applyAlignment="1">
      <alignment horizontal="center" vertical="center"/>
    </xf>
    <xf numFmtId="0" fontId="0" fillId="0" borderId="8" xfId="0" applyBorder="1"/>
    <xf numFmtId="0" fontId="0" fillId="3" borderId="25" xfId="0" applyFill="1" applyBorder="1" applyAlignment="1">
      <alignment horizontal="center" vertical="center"/>
    </xf>
    <xf numFmtId="44" fontId="4" fillId="0" borderId="9" xfId="0" applyNumberFormat="1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0" fontId="12" fillId="10" borderId="29" xfId="0" applyFont="1" applyFill="1" applyBorder="1" applyAlignment="1">
      <alignment horizontal="center" vertical="center"/>
    </xf>
    <xf numFmtId="0" fontId="12" fillId="10" borderId="30" xfId="0" applyFont="1" applyFill="1" applyBorder="1" applyAlignment="1">
      <alignment horizontal="center" vertical="center"/>
    </xf>
    <xf numFmtId="164" fontId="12" fillId="10" borderId="27" xfId="0" applyNumberFormat="1" applyFont="1" applyFill="1" applyBorder="1" applyAlignment="1">
      <alignment horizontal="center" vertical="center"/>
    </xf>
    <xf numFmtId="164" fontId="12" fillId="10" borderId="9" xfId="0" applyNumberFormat="1" applyFont="1" applyFill="1" applyBorder="1" applyAlignment="1">
      <alignment vertical="center"/>
    </xf>
    <xf numFmtId="164" fontId="11" fillId="10" borderId="13" xfId="0" applyNumberFormat="1" applyFont="1" applyFill="1" applyBorder="1" applyAlignment="1">
      <alignment vertical="center"/>
    </xf>
    <xf numFmtId="0" fontId="12" fillId="3" borderId="9" xfId="0" applyFont="1" applyFill="1" applyBorder="1" applyAlignment="1">
      <alignment horizontal="center" vertical="center"/>
    </xf>
    <xf numFmtId="0" fontId="12" fillId="3" borderId="27" xfId="0" applyFont="1" applyFill="1" applyBorder="1" applyAlignment="1">
      <alignment horizontal="center" vertical="center"/>
    </xf>
    <xf numFmtId="164" fontId="12" fillId="3" borderId="9" xfId="0" applyNumberFormat="1" applyFont="1" applyFill="1" applyBorder="1" applyAlignment="1">
      <alignment vertical="center"/>
    </xf>
    <xf numFmtId="164" fontId="12" fillId="9" borderId="9" xfId="0" applyNumberFormat="1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0" fillId="8" borderId="19" xfId="0" applyFill="1" applyBorder="1" applyAlignment="1">
      <alignment horizontal="center"/>
    </xf>
    <xf numFmtId="0" fontId="1" fillId="9" borderId="27" xfId="0" applyFont="1" applyFill="1" applyBorder="1" applyAlignment="1">
      <alignment horizontal="center" vertical="center"/>
    </xf>
    <xf numFmtId="0" fontId="1" fillId="9" borderId="28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44" fontId="4" fillId="0" borderId="3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3" borderId="15" xfId="0" applyFont="1" applyFill="1" applyBorder="1" applyAlignment="1">
      <alignment horizontal="left"/>
    </xf>
    <xf numFmtId="0" fontId="0" fillId="3" borderId="23" xfId="0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0" fillId="3" borderId="15" xfId="0" applyFill="1" applyBorder="1" applyAlignment="1">
      <alignment horizontal="left"/>
    </xf>
    <xf numFmtId="0" fontId="0" fillId="3" borderId="19" xfId="0" applyFill="1" applyBorder="1" applyAlignment="1">
      <alignment horizontal="center"/>
    </xf>
    <xf numFmtId="0" fontId="5" fillId="3" borderId="18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/>
    </xf>
    <xf numFmtId="0" fontId="1" fillId="6" borderId="23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0" fontId="0" fillId="11" borderId="19" xfId="0" applyFill="1" applyBorder="1" applyAlignment="1">
      <alignment horizontal="center"/>
    </xf>
    <xf numFmtId="0" fontId="1" fillId="11" borderId="23" xfId="0" applyFont="1" applyFill="1" applyBorder="1" applyAlignment="1">
      <alignment horizontal="center" vertical="center"/>
    </xf>
    <xf numFmtId="0" fontId="9" fillId="11" borderId="18" xfId="0" applyFont="1" applyFill="1" applyBorder="1" applyAlignment="1">
      <alignment horizontal="center" vertical="center"/>
    </xf>
    <xf numFmtId="0" fontId="4" fillId="11" borderId="19" xfId="0" applyFont="1" applyFill="1" applyBorder="1" applyAlignment="1">
      <alignment horizontal="center"/>
    </xf>
    <xf numFmtId="0" fontId="1" fillId="11" borderId="6" xfId="0" applyFont="1" applyFill="1" applyBorder="1" applyAlignment="1">
      <alignment horizontal="center" vertical="center"/>
    </xf>
    <xf numFmtId="44" fontId="6" fillId="3" borderId="33" xfId="0" applyNumberFormat="1" applyFont="1" applyFill="1" applyBorder="1"/>
    <xf numFmtId="44" fontId="4" fillId="6" borderId="33" xfId="0" applyNumberFormat="1" applyFont="1" applyFill="1" applyBorder="1"/>
    <xf numFmtId="44" fontId="4" fillId="11" borderId="33" xfId="0" applyNumberFormat="1" applyFont="1" applyFill="1" applyBorder="1"/>
    <xf numFmtId="44" fontId="4" fillId="8" borderId="33" xfId="0" applyNumberFormat="1" applyFont="1" applyFill="1" applyBorder="1"/>
    <xf numFmtId="44" fontId="6" fillId="3" borderId="31" xfId="0" applyNumberFormat="1" applyFont="1" applyFill="1" applyBorder="1"/>
    <xf numFmtId="44" fontId="6" fillId="6" borderId="19" xfId="0" applyNumberFormat="1" applyFont="1" applyFill="1" applyBorder="1"/>
    <xf numFmtId="44" fontId="6" fillId="11" borderId="19" xfId="0" applyNumberFormat="1" applyFont="1" applyFill="1" applyBorder="1"/>
    <xf numFmtId="44" fontId="6" fillId="3" borderId="19" xfId="0" applyNumberFormat="1" applyFont="1" applyFill="1" applyBorder="1"/>
    <xf numFmtId="44" fontId="6" fillId="11" borderId="24" xfId="0" applyNumberFormat="1" applyFont="1" applyFill="1" applyBorder="1"/>
    <xf numFmtId="164" fontId="3" fillId="3" borderId="31" xfId="3" applyNumberFormat="1" applyFont="1" applyFill="1" applyBorder="1" applyAlignment="1">
      <alignment horizontal="center"/>
    </xf>
    <xf numFmtId="164" fontId="3" fillId="6" borderId="19" xfId="3" applyNumberFormat="1" applyFont="1" applyFill="1" applyBorder="1" applyAlignment="1">
      <alignment horizontal="center"/>
    </xf>
    <xf numFmtId="164" fontId="3" fillId="11" borderId="19" xfId="3" applyNumberFormat="1" applyFont="1" applyFill="1" applyBorder="1" applyAlignment="1">
      <alignment horizontal="center"/>
    </xf>
    <xf numFmtId="164" fontId="3" fillId="3" borderId="19" xfId="3" applyNumberFormat="1" applyFont="1" applyFill="1" applyBorder="1" applyAlignment="1">
      <alignment horizontal="center"/>
    </xf>
    <xf numFmtId="164" fontId="3" fillId="8" borderId="19" xfId="3" applyNumberFormat="1" applyFont="1" applyFill="1" applyBorder="1" applyAlignment="1">
      <alignment horizontal="center"/>
    </xf>
    <xf numFmtId="164" fontId="3" fillId="11" borderId="24" xfId="3" applyNumberFormat="1" applyFont="1" applyFill="1" applyBorder="1" applyAlignment="1">
      <alignment horizontal="center"/>
    </xf>
    <xf numFmtId="44" fontId="4" fillId="3" borderId="21" xfId="0" applyNumberFormat="1" applyFont="1" applyFill="1" applyBorder="1" applyAlignment="1">
      <alignment horizontal="center"/>
    </xf>
    <xf numFmtId="44" fontId="4" fillId="6" borderId="18" xfId="0" applyNumberFormat="1" applyFont="1" applyFill="1" applyBorder="1" applyAlignment="1">
      <alignment horizontal="center"/>
    </xf>
    <xf numFmtId="44" fontId="4" fillId="11" borderId="18" xfId="0" applyNumberFormat="1" applyFont="1" applyFill="1" applyBorder="1" applyAlignment="1">
      <alignment horizontal="center"/>
    </xf>
    <xf numFmtId="44" fontId="4" fillId="3" borderId="18" xfId="0" applyNumberFormat="1" applyFont="1" applyFill="1" applyBorder="1" applyAlignment="1">
      <alignment horizontal="center"/>
    </xf>
    <xf numFmtId="44" fontId="4" fillId="0" borderId="18" xfId="0" applyNumberFormat="1" applyFont="1" applyBorder="1" applyAlignment="1">
      <alignment horizontal="center"/>
    </xf>
    <xf numFmtId="44" fontId="4" fillId="11" borderId="22" xfId="0" applyNumberFormat="1" applyFont="1" applyFill="1" applyBorder="1" applyAlignment="1">
      <alignment horizontal="center"/>
    </xf>
  </cellXfs>
  <cellStyles count="4">
    <cellStyle name="Hiperlink" xfId="1" builtinId="8"/>
    <cellStyle name="Moeda" xfId="3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huanmaximiano@remax.com.br" TargetMode="External"/><Relationship Id="rId13" Type="http://schemas.openxmlformats.org/officeDocument/2006/relationships/hyperlink" Target="mailto:elisangelasteinback@remax.com.br" TargetMode="External"/><Relationship Id="rId3" Type="http://schemas.openxmlformats.org/officeDocument/2006/relationships/hyperlink" Target="mailto:Jaqueragnini@remax.com.br" TargetMode="External"/><Relationship Id="rId7" Type="http://schemas.openxmlformats.org/officeDocument/2006/relationships/hyperlink" Target="mailto:joiceporto@remax.com.br" TargetMode="External"/><Relationship Id="rId12" Type="http://schemas.openxmlformats.org/officeDocument/2006/relationships/hyperlink" Target="mailto:suelihermann@remax.com.br" TargetMode="External"/><Relationship Id="rId2" Type="http://schemas.openxmlformats.org/officeDocument/2006/relationships/hyperlink" Target="mailto:jeanvictor@remax.com.br" TargetMode="External"/><Relationship Id="rId1" Type="http://schemas.openxmlformats.org/officeDocument/2006/relationships/hyperlink" Target="mailto:romulopaulo@remax.com.br" TargetMode="External"/><Relationship Id="rId6" Type="http://schemas.openxmlformats.org/officeDocument/2006/relationships/hyperlink" Target="mailto:andrebissacot@remax.com.br" TargetMode="External"/><Relationship Id="rId11" Type="http://schemas.openxmlformats.org/officeDocument/2006/relationships/hyperlink" Target="mailto:epiaia@remax.com.br" TargetMode="External"/><Relationship Id="rId5" Type="http://schemas.openxmlformats.org/officeDocument/2006/relationships/hyperlink" Target="mailto:isabellemoraes@remax.com.br" TargetMode="External"/><Relationship Id="rId15" Type="http://schemas.openxmlformats.org/officeDocument/2006/relationships/hyperlink" Target="mailto:Andreestevam@remaxcom.br" TargetMode="External"/><Relationship Id="rId10" Type="http://schemas.openxmlformats.org/officeDocument/2006/relationships/hyperlink" Target="mailto:alexandrerodarte@remax.com.br" TargetMode="External"/><Relationship Id="rId4" Type="http://schemas.openxmlformats.org/officeDocument/2006/relationships/hyperlink" Target="mailto:sheilamm@remax.com.br" TargetMode="External"/><Relationship Id="rId9" Type="http://schemas.openxmlformats.org/officeDocument/2006/relationships/hyperlink" Target="mailto:raquelkremer@remax.com.br" TargetMode="External"/><Relationship Id="rId14" Type="http://schemas.openxmlformats.org/officeDocument/2006/relationships/hyperlink" Target="mailto:ricardorosa@remax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911F2-BD47-4DFA-A3E1-B2B45C4AC770}">
  <dimension ref="A1:Y38"/>
  <sheetViews>
    <sheetView tabSelected="1" zoomScaleNormal="97" workbookViewId="0">
      <pane ySplit="1" topLeftCell="A4" activePane="bottomLeft" state="frozen"/>
      <selection pane="bottomLeft" activeCell="A4" sqref="A4:XFD4"/>
    </sheetView>
  </sheetViews>
  <sheetFormatPr baseColWidth="10" defaultColWidth="8.83203125" defaultRowHeight="15" x14ac:dyDescent="0.2"/>
  <cols>
    <col min="2" max="2" width="36.5" bestFit="1" customWidth="1"/>
    <col min="3" max="3" width="24.5" bestFit="1" customWidth="1"/>
    <col min="4" max="4" width="27" style="3" bestFit="1" customWidth="1"/>
    <col min="5" max="5" width="25.1640625" style="3" customWidth="1"/>
    <col min="6" max="6" width="32.33203125" style="19" bestFit="1" customWidth="1"/>
    <col min="7" max="7" width="19.5" bestFit="1" customWidth="1"/>
    <col min="8" max="8" width="77.33203125" style="3" bestFit="1" customWidth="1"/>
    <col min="9" max="9" width="18" style="2" bestFit="1" customWidth="1"/>
    <col min="10" max="10" width="22.6640625" bestFit="1" customWidth="1"/>
    <col min="11" max="11" width="9.5" customWidth="1"/>
    <col min="12" max="12" width="9.1640625" bestFit="1" customWidth="1"/>
    <col min="16" max="16" width="0" style="74" hidden="1" customWidth="1"/>
    <col min="17" max="17" width="27.1640625" bestFit="1" customWidth="1"/>
    <col min="18" max="18" width="3.5" style="3" hidden="1" customWidth="1"/>
    <col min="19" max="19" width="14" style="2" bestFit="1" customWidth="1"/>
    <col min="20" max="20" width="15.83203125" bestFit="1" customWidth="1"/>
    <col min="21" max="21" width="14.6640625" bestFit="1" customWidth="1"/>
    <col min="22" max="22" width="12.5" bestFit="1" customWidth="1"/>
    <col min="23" max="23" width="16.5" bestFit="1" customWidth="1"/>
    <col min="24" max="24" width="18" style="86" bestFit="1" customWidth="1"/>
    <col min="25" max="25" width="12.5" bestFit="1" customWidth="1"/>
  </cols>
  <sheetData>
    <row r="1" spans="1:25" s="4" customFormat="1" ht="45" customHeight="1" thickBot="1" x14ac:dyDescent="0.25">
      <c r="B1" s="5" t="s">
        <v>22</v>
      </c>
      <c r="C1" s="5" t="s">
        <v>112</v>
      </c>
      <c r="D1" s="5" t="s">
        <v>50</v>
      </c>
      <c r="E1" s="5" t="s">
        <v>135</v>
      </c>
      <c r="F1" s="18" t="s">
        <v>51</v>
      </c>
      <c r="G1" s="7" t="s">
        <v>52</v>
      </c>
      <c r="H1" s="5" t="s">
        <v>175</v>
      </c>
      <c r="I1" s="5" t="s">
        <v>119</v>
      </c>
      <c r="J1" s="5" t="s">
        <v>122</v>
      </c>
      <c r="K1" s="35" t="s">
        <v>128</v>
      </c>
      <c r="L1" s="6" t="s">
        <v>129</v>
      </c>
      <c r="P1" s="76"/>
      <c r="Q1" s="6" t="s">
        <v>122</v>
      </c>
      <c r="R1" s="77"/>
      <c r="S1" s="81" t="s">
        <v>221</v>
      </c>
      <c r="T1" s="81" t="s">
        <v>225</v>
      </c>
      <c r="U1" s="89" t="s">
        <v>223</v>
      </c>
      <c r="V1" s="83" t="s">
        <v>227</v>
      </c>
      <c r="W1" s="18" t="s">
        <v>228</v>
      </c>
      <c r="X1" s="87" t="s">
        <v>226</v>
      </c>
      <c r="Y1" s="89" t="s">
        <v>224</v>
      </c>
    </row>
    <row r="2" spans="1:25" s="1" customFormat="1" ht="16" x14ac:dyDescent="0.2">
      <c r="A2" s="1">
        <v>1</v>
      </c>
      <c r="B2" s="72" t="s">
        <v>216</v>
      </c>
      <c r="C2" s="23" t="s">
        <v>111</v>
      </c>
      <c r="D2" s="25" t="s">
        <v>48</v>
      </c>
      <c r="E2" s="25" t="s">
        <v>140</v>
      </c>
      <c r="F2" s="65" t="s">
        <v>49</v>
      </c>
      <c r="G2" s="24" t="s">
        <v>83</v>
      </c>
      <c r="H2" s="25" t="s">
        <v>179</v>
      </c>
      <c r="I2" s="28" t="s">
        <v>120</v>
      </c>
      <c r="J2" s="30" t="s">
        <v>216</v>
      </c>
      <c r="K2" s="36">
        <v>45639</v>
      </c>
      <c r="L2" s="21">
        <v>0.45833333333333331</v>
      </c>
      <c r="P2" s="110">
        <v>1</v>
      </c>
      <c r="Q2" s="115" t="s">
        <v>0</v>
      </c>
      <c r="R2" s="149"/>
      <c r="S2" s="150">
        <v>5</v>
      </c>
      <c r="T2" s="151">
        <v>3</v>
      </c>
      <c r="U2" s="152"/>
      <c r="V2" s="166">
        <f t="shared" ref="V2:V27" si="0">U2*X2</f>
        <v>0</v>
      </c>
      <c r="W2" s="170"/>
      <c r="X2" s="175">
        <v>1600</v>
      </c>
      <c r="Y2" s="181"/>
    </row>
    <row r="3" spans="1:25" ht="16" x14ac:dyDescent="0.2">
      <c r="A3" s="2">
        <v>2</v>
      </c>
      <c r="B3" s="70" t="s">
        <v>0</v>
      </c>
      <c r="C3" s="8" t="s">
        <v>110</v>
      </c>
      <c r="D3" s="25" t="s">
        <v>64</v>
      </c>
      <c r="E3" s="23" t="s">
        <v>141</v>
      </c>
      <c r="F3" s="63" t="s">
        <v>63</v>
      </c>
      <c r="G3" s="24" t="s">
        <v>65</v>
      </c>
      <c r="H3" s="25" t="s">
        <v>176</v>
      </c>
      <c r="I3" s="28" t="s">
        <v>120</v>
      </c>
      <c r="J3" s="31" t="s">
        <v>0</v>
      </c>
      <c r="K3" s="8"/>
      <c r="L3" s="10"/>
      <c r="P3" s="111">
        <v>2</v>
      </c>
      <c r="Q3" s="116" t="s">
        <v>18</v>
      </c>
      <c r="R3" s="78"/>
      <c r="S3" s="158">
        <v>2</v>
      </c>
      <c r="T3" s="159">
        <v>3</v>
      </c>
      <c r="U3" s="160">
        <f t="shared" ref="U3:U6" si="1">S3-T3</f>
        <v>-1</v>
      </c>
      <c r="V3" s="167">
        <f t="shared" si="0"/>
        <v>-1600</v>
      </c>
      <c r="W3" s="171">
        <v>1191.49</v>
      </c>
      <c r="X3" s="176">
        <v>1600</v>
      </c>
      <c r="Y3" s="182">
        <f t="shared" ref="Y3:Y31" si="2">U3*W3</f>
        <v>-1191.49</v>
      </c>
    </row>
    <row r="4" spans="1:25" ht="16" x14ac:dyDescent="0.2">
      <c r="A4" s="2">
        <v>3</v>
      </c>
      <c r="B4" s="70" t="s">
        <v>18</v>
      </c>
      <c r="C4" s="8" t="s">
        <v>109</v>
      </c>
      <c r="D4" s="25" t="s">
        <v>67</v>
      </c>
      <c r="E4" s="25" t="s">
        <v>142</v>
      </c>
      <c r="F4" s="63" t="s">
        <v>40</v>
      </c>
      <c r="G4" s="24" t="s">
        <v>71</v>
      </c>
      <c r="H4" s="25" t="s">
        <v>177</v>
      </c>
      <c r="I4" s="28" t="s">
        <v>120</v>
      </c>
      <c r="J4" s="32" t="s">
        <v>18</v>
      </c>
      <c r="K4" s="36">
        <v>45631</v>
      </c>
      <c r="L4" s="21">
        <v>0.375</v>
      </c>
      <c r="P4" s="112"/>
      <c r="Q4" s="117" t="s">
        <v>1</v>
      </c>
      <c r="R4" s="78"/>
      <c r="S4" s="161">
        <v>0</v>
      </c>
      <c r="T4" s="162">
        <v>3</v>
      </c>
      <c r="U4" s="163">
        <f t="shared" si="1"/>
        <v>-3</v>
      </c>
      <c r="V4" s="168">
        <f t="shared" si="0"/>
        <v>-4800</v>
      </c>
      <c r="W4" s="172">
        <v>1191.49</v>
      </c>
      <c r="X4" s="177">
        <v>1600</v>
      </c>
      <c r="Y4" s="183">
        <f t="shared" si="2"/>
        <v>-3574.4700000000003</v>
      </c>
    </row>
    <row r="5" spans="1:25" ht="16" x14ac:dyDescent="0.2">
      <c r="A5" s="2">
        <v>4</v>
      </c>
      <c r="B5" s="70" t="s">
        <v>1</v>
      </c>
      <c r="C5" s="8" t="s">
        <v>107</v>
      </c>
      <c r="D5" s="25" t="s">
        <v>66</v>
      </c>
      <c r="E5" s="25" t="s">
        <v>143</v>
      </c>
      <c r="F5" s="63" t="s">
        <v>53</v>
      </c>
      <c r="G5" s="24" t="s">
        <v>82</v>
      </c>
      <c r="H5" s="25" t="s">
        <v>178</v>
      </c>
      <c r="I5" s="29" t="s">
        <v>121</v>
      </c>
      <c r="J5" s="33" t="s">
        <v>1</v>
      </c>
      <c r="K5" s="8"/>
      <c r="L5" s="10"/>
      <c r="P5" s="113"/>
      <c r="Q5" s="116" t="s">
        <v>123</v>
      </c>
      <c r="R5" s="79">
        <v>1</v>
      </c>
      <c r="S5" s="158">
        <v>2</v>
      </c>
      <c r="T5" s="159">
        <v>3</v>
      </c>
      <c r="U5" s="160">
        <f t="shared" si="1"/>
        <v>-1</v>
      </c>
      <c r="V5" s="167">
        <f t="shared" si="0"/>
        <v>-1600</v>
      </c>
      <c r="W5" s="171">
        <v>1191.49</v>
      </c>
      <c r="X5" s="176">
        <v>1600</v>
      </c>
      <c r="Y5" s="182">
        <f t="shared" si="2"/>
        <v>-1191.49</v>
      </c>
    </row>
    <row r="6" spans="1:25" ht="16" x14ac:dyDescent="0.2">
      <c r="A6" s="2">
        <v>5</v>
      </c>
      <c r="B6" s="70" t="s">
        <v>123</v>
      </c>
      <c r="C6" s="8" t="s">
        <v>127</v>
      </c>
      <c r="D6" s="23" t="s">
        <v>124</v>
      </c>
      <c r="E6" s="25" t="s">
        <v>144</v>
      </c>
      <c r="F6" s="66" t="s">
        <v>126</v>
      </c>
      <c r="G6" t="s">
        <v>125</v>
      </c>
      <c r="H6" s="23" t="s">
        <v>182</v>
      </c>
      <c r="I6" s="28" t="s">
        <v>120</v>
      </c>
      <c r="J6" s="32" t="s">
        <v>123</v>
      </c>
      <c r="K6" s="36">
        <v>45631</v>
      </c>
      <c r="L6" s="21">
        <v>0.58333333333333337</v>
      </c>
      <c r="P6" s="111">
        <v>3</v>
      </c>
      <c r="Q6" s="116" t="s">
        <v>14</v>
      </c>
      <c r="R6" s="78"/>
      <c r="S6" s="158">
        <v>1</v>
      </c>
      <c r="T6" s="159">
        <v>3</v>
      </c>
      <c r="U6" s="160">
        <f t="shared" si="1"/>
        <v>-2</v>
      </c>
      <c r="V6" s="167">
        <f t="shared" si="0"/>
        <v>-3200</v>
      </c>
      <c r="W6" s="171">
        <v>1191.49</v>
      </c>
      <c r="X6" s="176">
        <v>1600</v>
      </c>
      <c r="Y6" s="182">
        <f t="shared" si="2"/>
        <v>-2382.98</v>
      </c>
    </row>
    <row r="7" spans="1:25" ht="16" x14ac:dyDescent="0.2">
      <c r="A7" s="2">
        <v>6</v>
      </c>
      <c r="B7" s="70" t="s">
        <v>14</v>
      </c>
      <c r="C7" s="8" t="s">
        <v>108</v>
      </c>
      <c r="D7" s="25" t="s">
        <v>24</v>
      </c>
      <c r="E7" s="23" t="s">
        <v>145</v>
      </c>
      <c r="F7" s="63" t="s">
        <v>25</v>
      </c>
      <c r="G7" s="24" t="s">
        <v>81</v>
      </c>
      <c r="H7" s="25" t="s">
        <v>180</v>
      </c>
      <c r="I7" s="29" t="s">
        <v>121</v>
      </c>
      <c r="J7" s="51" t="s">
        <v>14</v>
      </c>
      <c r="K7" s="49">
        <v>45695</v>
      </c>
      <c r="L7" s="50">
        <v>0.41666666666666669</v>
      </c>
      <c r="P7" s="111">
        <v>4</v>
      </c>
      <c r="Q7" s="115" t="s">
        <v>229</v>
      </c>
      <c r="R7" s="153"/>
      <c r="S7" s="154">
        <v>5</v>
      </c>
      <c r="T7" s="151">
        <v>3</v>
      </c>
      <c r="U7" s="155"/>
      <c r="V7" s="166">
        <f t="shared" si="0"/>
        <v>0</v>
      </c>
      <c r="W7" s="173">
        <v>1191.49</v>
      </c>
      <c r="X7" s="178">
        <v>1600</v>
      </c>
      <c r="Y7" s="184">
        <f t="shared" si="2"/>
        <v>0</v>
      </c>
    </row>
    <row r="8" spans="1:25" ht="16" x14ac:dyDescent="0.2">
      <c r="A8" s="2">
        <v>7</v>
      </c>
      <c r="B8" s="70" t="s">
        <v>2</v>
      </c>
      <c r="C8" s="8" t="s">
        <v>89</v>
      </c>
      <c r="D8" s="25" t="s">
        <v>54</v>
      </c>
      <c r="E8" s="25" t="s">
        <v>146</v>
      </c>
      <c r="F8" s="65" t="s">
        <v>55</v>
      </c>
      <c r="G8" s="24" t="s">
        <v>80</v>
      </c>
      <c r="H8" s="25" t="s">
        <v>181</v>
      </c>
      <c r="I8" s="28" t="s">
        <v>120</v>
      </c>
      <c r="J8" s="32" t="s">
        <v>2</v>
      </c>
      <c r="K8" s="36">
        <v>45631</v>
      </c>
      <c r="L8" s="21">
        <v>0.45833333333333331</v>
      </c>
      <c r="P8" s="111">
        <v>5</v>
      </c>
      <c r="Q8" s="116" t="s">
        <v>15</v>
      </c>
      <c r="R8" s="78"/>
      <c r="S8" s="158">
        <v>2</v>
      </c>
      <c r="T8" s="159">
        <v>3</v>
      </c>
      <c r="U8" s="160">
        <f t="shared" ref="U8:U31" si="3">S8-T8</f>
        <v>-1</v>
      </c>
      <c r="V8" s="167">
        <f t="shared" si="0"/>
        <v>-1600</v>
      </c>
      <c r="W8" s="171">
        <v>1191.49</v>
      </c>
      <c r="X8" s="176">
        <v>1600</v>
      </c>
      <c r="Y8" s="182">
        <f t="shared" si="2"/>
        <v>-1191.49</v>
      </c>
    </row>
    <row r="9" spans="1:25" ht="16" x14ac:dyDescent="0.2">
      <c r="A9" s="2">
        <v>8</v>
      </c>
      <c r="B9" s="70" t="s">
        <v>15</v>
      </c>
      <c r="C9" s="8" t="s">
        <v>104</v>
      </c>
      <c r="D9" s="25" t="s">
        <v>33</v>
      </c>
      <c r="E9" s="25" t="s">
        <v>147</v>
      </c>
      <c r="F9" s="63" t="s">
        <v>34</v>
      </c>
      <c r="G9" s="24" t="s">
        <v>72</v>
      </c>
      <c r="H9" s="25" t="s">
        <v>183</v>
      </c>
      <c r="I9" s="28" t="s">
        <v>120</v>
      </c>
      <c r="J9" s="48" t="s">
        <v>15</v>
      </c>
      <c r="K9" s="49">
        <v>45631</v>
      </c>
      <c r="L9" s="50">
        <v>0.58333333333333337</v>
      </c>
      <c r="P9" s="111">
        <v>6</v>
      </c>
      <c r="Q9" s="116" t="s">
        <v>236</v>
      </c>
      <c r="R9" s="78"/>
      <c r="S9" s="158">
        <v>1</v>
      </c>
      <c r="T9" s="159">
        <v>3</v>
      </c>
      <c r="U9" s="160">
        <f t="shared" si="3"/>
        <v>-2</v>
      </c>
      <c r="V9" s="167">
        <f t="shared" si="0"/>
        <v>-3200</v>
      </c>
      <c r="W9" s="171">
        <v>1191.49</v>
      </c>
      <c r="X9" s="176">
        <v>1600</v>
      </c>
      <c r="Y9" s="182">
        <f t="shared" si="2"/>
        <v>-2382.98</v>
      </c>
    </row>
    <row r="10" spans="1:25" ht="16" x14ac:dyDescent="0.2">
      <c r="A10" s="2">
        <v>9</v>
      </c>
      <c r="B10" s="70" t="s">
        <v>3</v>
      </c>
      <c r="C10" s="8" t="s">
        <v>106</v>
      </c>
      <c r="D10" s="25" t="s">
        <v>185</v>
      </c>
      <c r="E10" s="25" t="s">
        <v>148</v>
      </c>
      <c r="F10" s="63" t="s">
        <v>184</v>
      </c>
      <c r="G10" s="24" t="s">
        <v>186</v>
      </c>
      <c r="H10" s="25" t="s">
        <v>187</v>
      </c>
      <c r="I10" s="29" t="s">
        <v>121</v>
      </c>
      <c r="J10" s="34" t="s">
        <v>3</v>
      </c>
      <c r="K10" s="36">
        <v>45638</v>
      </c>
      <c r="L10" s="21">
        <v>0.375</v>
      </c>
      <c r="P10" s="113"/>
      <c r="Q10" s="117" t="s">
        <v>3</v>
      </c>
      <c r="R10" s="79">
        <v>2</v>
      </c>
      <c r="S10" s="164">
        <v>0</v>
      </c>
      <c r="T10" s="162">
        <v>3</v>
      </c>
      <c r="U10" s="163">
        <f t="shared" si="3"/>
        <v>-3</v>
      </c>
      <c r="V10" s="168">
        <f t="shared" si="0"/>
        <v>-4800</v>
      </c>
      <c r="W10" s="172">
        <v>1191.49</v>
      </c>
      <c r="X10" s="177">
        <v>1600</v>
      </c>
      <c r="Y10" s="183">
        <f t="shared" si="2"/>
        <v>-3574.4700000000003</v>
      </c>
    </row>
    <row r="11" spans="1:25" ht="16" x14ac:dyDescent="0.2">
      <c r="A11" s="2">
        <v>10</v>
      </c>
      <c r="B11" s="70" t="s">
        <v>4</v>
      </c>
      <c r="C11" s="8" t="s">
        <v>96</v>
      </c>
      <c r="D11" s="25" t="s">
        <v>188</v>
      </c>
      <c r="E11" s="25" t="s">
        <v>149</v>
      </c>
      <c r="F11" s="63" t="s">
        <v>189</v>
      </c>
      <c r="G11" s="24" t="s">
        <v>190</v>
      </c>
      <c r="H11" s="25" t="s">
        <v>191</v>
      </c>
      <c r="I11" s="29" t="s">
        <v>121</v>
      </c>
      <c r="J11" s="34" t="s">
        <v>4</v>
      </c>
      <c r="K11" s="36">
        <v>45638</v>
      </c>
      <c r="L11" s="21">
        <v>0.66666666666666663</v>
      </c>
      <c r="P11" s="113"/>
      <c r="Q11" s="117" t="s">
        <v>4</v>
      </c>
      <c r="R11" s="79">
        <v>3</v>
      </c>
      <c r="S11" s="164">
        <v>0</v>
      </c>
      <c r="T11" s="162">
        <v>3</v>
      </c>
      <c r="U11" s="163">
        <f t="shared" si="3"/>
        <v>-3</v>
      </c>
      <c r="V11" s="168">
        <f t="shared" si="0"/>
        <v>-4800</v>
      </c>
      <c r="W11" s="172">
        <v>1191.49</v>
      </c>
      <c r="X11" s="177">
        <v>1600</v>
      </c>
      <c r="Y11" s="183">
        <f t="shared" si="2"/>
        <v>-3574.4700000000003</v>
      </c>
    </row>
    <row r="12" spans="1:25" ht="16" x14ac:dyDescent="0.2">
      <c r="A12" s="2">
        <v>11</v>
      </c>
      <c r="B12" s="70" t="s">
        <v>9</v>
      </c>
      <c r="C12" s="8" t="s">
        <v>105</v>
      </c>
      <c r="D12" s="25" t="s">
        <v>46</v>
      </c>
      <c r="E12" s="25" t="s">
        <v>150</v>
      </c>
      <c r="F12" s="63" t="s">
        <v>47</v>
      </c>
      <c r="G12" s="24" t="s">
        <v>73</v>
      </c>
      <c r="H12" s="25" t="s">
        <v>192</v>
      </c>
      <c r="I12" s="28" t="s">
        <v>120</v>
      </c>
      <c r="J12" s="32" t="s">
        <v>9</v>
      </c>
      <c r="K12" s="36">
        <v>45631</v>
      </c>
      <c r="L12" s="21">
        <v>0.625</v>
      </c>
      <c r="P12" s="111">
        <v>7</v>
      </c>
      <c r="Q12" s="115" t="s">
        <v>9</v>
      </c>
      <c r="R12" s="153"/>
      <c r="S12" s="154">
        <v>5</v>
      </c>
      <c r="T12" s="151">
        <v>3</v>
      </c>
      <c r="U12" s="155"/>
      <c r="V12" s="166">
        <f t="shared" si="0"/>
        <v>0</v>
      </c>
      <c r="W12" s="173">
        <v>1191.49</v>
      </c>
      <c r="X12" s="178">
        <v>1600</v>
      </c>
      <c r="Y12" s="184">
        <f t="shared" si="2"/>
        <v>0</v>
      </c>
    </row>
    <row r="13" spans="1:25" ht="16" x14ac:dyDescent="0.2">
      <c r="A13" s="2">
        <v>12</v>
      </c>
      <c r="B13" s="70" t="s">
        <v>17</v>
      </c>
      <c r="C13" s="8" t="s">
        <v>104</v>
      </c>
      <c r="D13" s="25" t="s">
        <v>68</v>
      </c>
      <c r="E13" s="25" t="s">
        <v>151</v>
      </c>
      <c r="F13" s="63" t="s">
        <v>69</v>
      </c>
      <c r="G13" s="24" t="s">
        <v>70</v>
      </c>
      <c r="H13" s="25" t="s">
        <v>193</v>
      </c>
      <c r="I13" s="29" t="s">
        <v>121</v>
      </c>
      <c r="J13" s="34" t="s">
        <v>17</v>
      </c>
      <c r="K13" s="36">
        <v>45638</v>
      </c>
      <c r="L13" s="21">
        <v>0.41666666666666669</v>
      </c>
      <c r="P13" s="113"/>
      <c r="Q13" s="117" t="s">
        <v>230</v>
      </c>
      <c r="R13" s="79">
        <v>4</v>
      </c>
      <c r="S13" s="164">
        <v>0</v>
      </c>
      <c r="T13" s="162">
        <v>3</v>
      </c>
      <c r="U13" s="163">
        <f t="shared" si="3"/>
        <v>-3</v>
      </c>
      <c r="V13" s="168">
        <f t="shared" si="0"/>
        <v>-4800</v>
      </c>
      <c r="W13" s="172">
        <v>1191.49</v>
      </c>
      <c r="X13" s="177">
        <v>1600</v>
      </c>
      <c r="Y13" s="183">
        <f t="shared" si="2"/>
        <v>-3574.4700000000003</v>
      </c>
    </row>
    <row r="14" spans="1:25" ht="16" x14ac:dyDescent="0.2">
      <c r="A14" s="2">
        <v>13</v>
      </c>
      <c r="B14" s="70" t="s">
        <v>19</v>
      </c>
      <c r="C14" s="8" t="s">
        <v>103</v>
      </c>
      <c r="D14" s="25" t="s">
        <v>26</v>
      </c>
      <c r="E14" s="25" t="s">
        <v>152</v>
      </c>
      <c r="F14" s="63" t="s">
        <v>27</v>
      </c>
      <c r="G14" s="24" t="s">
        <v>79</v>
      </c>
      <c r="H14" s="25" t="s">
        <v>194</v>
      </c>
      <c r="I14" s="28" t="s">
        <v>120</v>
      </c>
      <c r="J14" s="32" t="s">
        <v>19</v>
      </c>
      <c r="K14" s="36">
        <v>45632</v>
      </c>
      <c r="L14" s="21">
        <v>0.66666666666666663</v>
      </c>
      <c r="P14" s="113"/>
      <c r="Q14" s="139" t="s">
        <v>215</v>
      </c>
      <c r="R14" s="149">
        <v>5</v>
      </c>
      <c r="S14" s="154">
        <v>3</v>
      </c>
      <c r="T14" s="151">
        <v>3</v>
      </c>
      <c r="U14" s="156"/>
      <c r="V14" s="166">
        <f t="shared" si="0"/>
        <v>0</v>
      </c>
      <c r="W14" s="173">
        <v>1191.49</v>
      </c>
      <c r="X14" s="178">
        <v>1600</v>
      </c>
      <c r="Y14" s="184">
        <f t="shared" si="2"/>
        <v>0</v>
      </c>
    </row>
    <row r="15" spans="1:25" ht="16" x14ac:dyDescent="0.2">
      <c r="A15" s="2">
        <v>14</v>
      </c>
      <c r="B15" s="70" t="s">
        <v>20</v>
      </c>
      <c r="C15" s="8" t="s">
        <v>102</v>
      </c>
      <c r="D15" s="25" t="s">
        <v>84</v>
      </c>
      <c r="E15" s="25" t="s">
        <v>154</v>
      </c>
      <c r="F15" s="63" t="s">
        <v>86</v>
      </c>
      <c r="G15" s="24" t="s">
        <v>85</v>
      </c>
      <c r="H15" s="25" t="s">
        <v>211</v>
      </c>
      <c r="I15" s="29" t="s">
        <v>121</v>
      </c>
      <c r="J15" s="34" t="s">
        <v>20</v>
      </c>
      <c r="K15" s="36">
        <v>45638</v>
      </c>
      <c r="L15" s="21">
        <v>0.58333333333333337</v>
      </c>
      <c r="P15" s="111">
        <v>8</v>
      </c>
      <c r="Q15" s="116" t="s">
        <v>231</v>
      </c>
      <c r="R15" s="78"/>
      <c r="S15" s="158">
        <v>2</v>
      </c>
      <c r="T15" s="159">
        <v>3</v>
      </c>
      <c r="U15" s="160">
        <f t="shared" si="3"/>
        <v>-1</v>
      </c>
      <c r="V15" s="167">
        <f t="shared" si="0"/>
        <v>-1600</v>
      </c>
      <c r="W15" s="171">
        <v>1191.49</v>
      </c>
      <c r="X15" s="176">
        <v>1600</v>
      </c>
      <c r="Y15" s="182">
        <f t="shared" si="2"/>
        <v>-1191.49</v>
      </c>
    </row>
    <row r="16" spans="1:25" ht="16" x14ac:dyDescent="0.2">
      <c r="A16" s="2">
        <v>15</v>
      </c>
      <c r="B16" s="70" t="s">
        <v>5</v>
      </c>
      <c r="C16" s="8" t="s">
        <v>101</v>
      </c>
      <c r="D16" s="25" t="s">
        <v>41</v>
      </c>
      <c r="E16" s="25" t="s">
        <v>155</v>
      </c>
      <c r="F16" s="63" t="s">
        <v>42</v>
      </c>
      <c r="G16" s="24" t="s">
        <v>43</v>
      </c>
      <c r="H16" s="25" t="s">
        <v>195</v>
      </c>
      <c r="I16" s="28" t="s">
        <v>120</v>
      </c>
      <c r="J16" s="32" t="s">
        <v>5</v>
      </c>
      <c r="K16" s="36">
        <v>45631</v>
      </c>
      <c r="L16" s="21">
        <v>0.70833333333333337</v>
      </c>
      <c r="P16" s="112"/>
      <c r="Q16" s="116" t="s">
        <v>19</v>
      </c>
      <c r="R16" s="78"/>
      <c r="S16" s="158">
        <v>2</v>
      </c>
      <c r="T16" s="159">
        <v>3</v>
      </c>
      <c r="U16" s="160">
        <f t="shared" si="3"/>
        <v>-1</v>
      </c>
      <c r="V16" s="167">
        <f t="shared" si="0"/>
        <v>-1600</v>
      </c>
      <c r="W16" s="171">
        <v>1191.49</v>
      </c>
      <c r="X16" s="176">
        <v>1600</v>
      </c>
      <c r="Y16" s="182">
        <f t="shared" si="2"/>
        <v>-1191.49</v>
      </c>
    </row>
    <row r="17" spans="1:25" ht="16" x14ac:dyDescent="0.2">
      <c r="A17" s="2">
        <v>16</v>
      </c>
      <c r="B17" s="70" t="s">
        <v>21</v>
      </c>
      <c r="C17" s="8" t="s">
        <v>91</v>
      </c>
      <c r="D17" s="25" t="s">
        <v>35</v>
      </c>
      <c r="E17" s="25" t="s">
        <v>156</v>
      </c>
      <c r="F17" s="65" t="s">
        <v>36</v>
      </c>
      <c r="G17" s="24" t="s">
        <v>78</v>
      </c>
      <c r="H17" s="25" t="s">
        <v>196</v>
      </c>
      <c r="I17" s="28" t="s">
        <v>120</v>
      </c>
      <c r="J17" s="32" t="s">
        <v>21</v>
      </c>
      <c r="K17" s="36">
        <v>46004</v>
      </c>
      <c r="L17" s="21">
        <v>0.70833333333333337</v>
      </c>
      <c r="P17" s="113"/>
      <c r="Q17" s="118" t="s">
        <v>87</v>
      </c>
      <c r="R17" s="79">
        <v>6</v>
      </c>
      <c r="S17" s="158">
        <v>2</v>
      </c>
      <c r="T17" s="159">
        <v>3</v>
      </c>
      <c r="U17" s="160">
        <f t="shared" si="3"/>
        <v>-1</v>
      </c>
      <c r="V17" s="167">
        <f t="shared" si="0"/>
        <v>-1600</v>
      </c>
      <c r="W17" s="171">
        <v>1191.49</v>
      </c>
      <c r="X17" s="176">
        <v>1600</v>
      </c>
      <c r="Y17" s="182">
        <f t="shared" si="2"/>
        <v>-1191.49</v>
      </c>
    </row>
    <row r="18" spans="1:25" ht="16" x14ac:dyDescent="0.2">
      <c r="A18" s="2">
        <v>17</v>
      </c>
      <c r="B18" s="70" t="s">
        <v>6</v>
      </c>
      <c r="C18" s="8" t="s">
        <v>100</v>
      </c>
      <c r="D18" s="25" t="s">
        <v>159</v>
      </c>
      <c r="E18" s="25" t="s">
        <v>157</v>
      </c>
      <c r="F18" s="63" t="s">
        <v>158</v>
      </c>
      <c r="G18" s="24" t="s">
        <v>160</v>
      </c>
      <c r="H18" s="25" t="s">
        <v>197</v>
      </c>
      <c r="I18" s="28" t="s">
        <v>120</v>
      </c>
      <c r="J18" s="31" t="s">
        <v>6</v>
      </c>
      <c r="K18" s="8"/>
      <c r="L18" s="10"/>
      <c r="P18" s="113"/>
      <c r="Q18" s="117" t="s">
        <v>20</v>
      </c>
      <c r="R18" s="79">
        <v>7</v>
      </c>
      <c r="S18" s="161">
        <v>0</v>
      </c>
      <c r="T18" s="162">
        <v>3</v>
      </c>
      <c r="U18" s="163">
        <f t="shared" si="3"/>
        <v>-3</v>
      </c>
      <c r="V18" s="168">
        <f t="shared" si="0"/>
        <v>-4800</v>
      </c>
      <c r="W18" s="172">
        <v>1191.49</v>
      </c>
      <c r="X18" s="177">
        <v>1600</v>
      </c>
      <c r="Y18" s="183">
        <f t="shared" si="2"/>
        <v>-3574.4700000000003</v>
      </c>
    </row>
    <row r="19" spans="1:25" ht="16" x14ac:dyDescent="0.2">
      <c r="A19" s="2">
        <v>18</v>
      </c>
      <c r="B19" s="70" t="s">
        <v>7</v>
      </c>
      <c r="C19" s="8" t="s">
        <v>99</v>
      </c>
      <c r="D19" s="25" t="s">
        <v>162</v>
      </c>
      <c r="E19" s="25" t="s">
        <v>164</v>
      </c>
      <c r="F19" s="65" t="s">
        <v>161</v>
      </c>
      <c r="G19" s="24" t="s">
        <v>163</v>
      </c>
      <c r="H19" s="25" t="s">
        <v>198</v>
      </c>
      <c r="I19" s="28" t="s">
        <v>120</v>
      </c>
      <c r="J19" s="32" t="s">
        <v>7</v>
      </c>
      <c r="K19" s="36">
        <v>45687</v>
      </c>
      <c r="L19" s="21">
        <v>0.45833333333333331</v>
      </c>
      <c r="P19" s="111">
        <v>9</v>
      </c>
      <c r="Q19" s="115" t="s">
        <v>5</v>
      </c>
      <c r="R19" s="153"/>
      <c r="S19" s="154">
        <v>6</v>
      </c>
      <c r="T19" s="151">
        <v>3</v>
      </c>
      <c r="U19" s="155"/>
      <c r="V19" s="166">
        <f t="shared" si="0"/>
        <v>0</v>
      </c>
      <c r="W19" s="173">
        <v>1191.49</v>
      </c>
      <c r="X19" s="178">
        <v>1600</v>
      </c>
      <c r="Y19" s="184">
        <f t="shared" si="2"/>
        <v>0</v>
      </c>
    </row>
    <row r="20" spans="1:25" ht="16" x14ac:dyDescent="0.2">
      <c r="A20" s="2">
        <v>19</v>
      </c>
      <c r="B20" s="70" t="s">
        <v>10</v>
      </c>
      <c r="C20" s="8" t="s">
        <v>98</v>
      </c>
      <c r="D20" s="25" t="s">
        <v>57</v>
      </c>
      <c r="E20" s="25" t="s">
        <v>165</v>
      </c>
      <c r="F20" s="63" t="s">
        <v>56</v>
      </c>
      <c r="G20" s="24" t="s">
        <v>77</v>
      </c>
      <c r="H20" s="25" t="s">
        <v>199</v>
      </c>
      <c r="I20" s="28" t="s">
        <v>120</v>
      </c>
      <c r="J20" s="32" t="s">
        <v>10</v>
      </c>
      <c r="K20" s="36">
        <v>45632</v>
      </c>
      <c r="L20" s="21">
        <v>0.375</v>
      </c>
      <c r="P20" s="113"/>
      <c r="Q20" s="119" t="s">
        <v>217</v>
      </c>
      <c r="R20" s="79">
        <v>8</v>
      </c>
      <c r="S20" s="158">
        <v>0</v>
      </c>
      <c r="T20" s="159">
        <v>3</v>
      </c>
      <c r="U20" s="160">
        <f t="shared" si="3"/>
        <v>-3</v>
      </c>
      <c r="V20" s="167">
        <f t="shared" si="0"/>
        <v>-4800</v>
      </c>
      <c r="W20" s="171">
        <v>1191.49</v>
      </c>
      <c r="X20" s="176">
        <v>1600</v>
      </c>
      <c r="Y20" s="182">
        <f t="shared" si="2"/>
        <v>-3574.4700000000003</v>
      </c>
    </row>
    <row r="21" spans="1:25" ht="16" x14ac:dyDescent="0.2">
      <c r="A21" s="2">
        <v>20</v>
      </c>
      <c r="B21" s="70" t="s">
        <v>218</v>
      </c>
      <c r="C21" s="8" t="s">
        <v>97</v>
      </c>
      <c r="D21" s="25" t="s">
        <v>29</v>
      </c>
      <c r="E21" s="25" t="s">
        <v>166</v>
      </c>
      <c r="F21" s="65" t="s">
        <v>31</v>
      </c>
      <c r="G21" s="24" t="s">
        <v>32</v>
      </c>
      <c r="H21" s="25" t="s">
        <v>200</v>
      </c>
      <c r="I21" s="28" t="s">
        <v>120</v>
      </c>
      <c r="J21" s="32" t="s">
        <v>218</v>
      </c>
      <c r="K21" s="36">
        <v>45631</v>
      </c>
      <c r="L21" s="21">
        <v>0.66666666666666663</v>
      </c>
      <c r="P21" s="111">
        <v>10</v>
      </c>
      <c r="Q21" s="115" t="s">
        <v>6</v>
      </c>
      <c r="R21" s="78"/>
      <c r="S21" s="154">
        <v>3</v>
      </c>
      <c r="T21" s="151">
        <v>3</v>
      </c>
      <c r="U21" s="157"/>
      <c r="V21" s="166">
        <f t="shared" si="0"/>
        <v>0</v>
      </c>
      <c r="W21" s="173">
        <v>1191.49</v>
      </c>
      <c r="X21" s="178">
        <v>1600</v>
      </c>
      <c r="Y21" s="184">
        <f t="shared" si="2"/>
        <v>0</v>
      </c>
    </row>
    <row r="22" spans="1:25" ht="16" x14ac:dyDescent="0.2">
      <c r="A22" s="2">
        <v>21</v>
      </c>
      <c r="B22" s="70" t="s">
        <v>16</v>
      </c>
      <c r="C22" s="8" t="s">
        <v>96</v>
      </c>
      <c r="D22" s="25" t="s">
        <v>44</v>
      </c>
      <c r="E22" s="25" t="s">
        <v>167</v>
      </c>
      <c r="F22" s="63" t="s">
        <v>45</v>
      </c>
      <c r="G22" s="24" t="s">
        <v>76</v>
      </c>
      <c r="H22" s="25" t="s">
        <v>201</v>
      </c>
      <c r="I22" s="39" t="s">
        <v>120</v>
      </c>
      <c r="J22" s="40" t="s">
        <v>16</v>
      </c>
      <c r="K22" s="36">
        <v>45631</v>
      </c>
      <c r="L22" s="21">
        <v>0.41666666666666669</v>
      </c>
      <c r="P22" s="111">
        <v>11</v>
      </c>
      <c r="Q22" s="115" t="s">
        <v>7</v>
      </c>
      <c r="R22" s="78"/>
      <c r="S22" s="154">
        <v>4</v>
      </c>
      <c r="T22" s="151">
        <v>3</v>
      </c>
      <c r="U22" s="155"/>
      <c r="V22" s="166">
        <f t="shared" si="0"/>
        <v>0</v>
      </c>
      <c r="W22" s="173">
        <v>1191.49</v>
      </c>
      <c r="X22" s="178">
        <v>1600</v>
      </c>
      <c r="Y22" s="184">
        <f t="shared" si="2"/>
        <v>0</v>
      </c>
    </row>
    <row r="23" spans="1:25" ht="16" x14ac:dyDescent="0.2">
      <c r="A23" s="2">
        <v>22</v>
      </c>
      <c r="B23" s="70" t="s">
        <v>8</v>
      </c>
      <c r="C23" s="8" t="s">
        <v>95</v>
      </c>
      <c r="D23" s="26" t="s">
        <v>30</v>
      </c>
      <c r="E23" s="26" t="s">
        <v>168</v>
      </c>
      <c r="F23" s="65" t="s">
        <v>28</v>
      </c>
      <c r="G23" s="24" t="s">
        <v>75</v>
      </c>
      <c r="H23" s="26" t="s">
        <v>207</v>
      </c>
      <c r="I23" s="41" t="s">
        <v>120</v>
      </c>
      <c r="J23" s="40" t="s">
        <v>8</v>
      </c>
      <c r="K23" s="36">
        <v>45632</v>
      </c>
      <c r="L23" s="21">
        <v>0.58333333333333337</v>
      </c>
      <c r="P23" s="113"/>
      <c r="Q23" s="117" t="s">
        <v>10</v>
      </c>
      <c r="R23" s="79">
        <v>9</v>
      </c>
      <c r="S23" s="161">
        <v>0</v>
      </c>
      <c r="T23" s="162">
        <v>3</v>
      </c>
      <c r="U23" s="163">
        <f t="shared" si="3"/>
        <v>-3</v>
      </c>
      <c r="V23" s="168">
        <f t="shared" si="0"/>
        <v>-4800</v>
      </c>
      <c r="W23" s="172">
        <v>1191.49</v>
      </c>
      <c r="X23" s="177">
        <v>1600</v>
      </c>
      <c r="Y23" s="183">
        <f t="shared" si="2"/>
        <v>-3574.4700000000003</v>
      </c>
    </row>
    <row r="24" spans="1:25" ht="16" x14ac:dyDescent="0.2">
      <c r="A24" s="2">
        <v>23</v>
      </c>
      <c r="B24" s="70" t="s">
        <v>13</v>
      </c>
      <c r="C24" s="8" t="s">
        <v>94</v>
      </c>
      <c r="D24" s="25" t="s">
        <v>37</v>
      </c>
      <c r="E24" s="25" t="s">
        <v>169</v>
      </c>
      <c r="F24" s="65" t="s">
        <v>38</v>
      </c>
      <c r="G24" s="24" t="s">
        <v>39</v>
      </c>
      <c r="H24" s="25" t="s">
        <v>202</v>
      </c>
      <c r="I24" s="41" t="s">
        <v>120</v>
      </c>
      <c r="J24" s="40" t="s">
        <v>13</v>
      </c>
      <c r="K24" s="36">
        <v>45632</v>
      </c>
      <c r="L24" s="21">
        <v>0.41666666666666669</v>
      </c>
      <c r="P24" s="113"/>
      <c r="Q24" s="120" t="s">
        <v>16</v>
      </c>
      <c r="R24" s="79">
        <v>10</v>
      </c>
      <c r="S24" s="161">
        <v>0</v>
      </c>
      <c r="T24" s="162">
        <v>3</v>
      </c>
      <c r="U24" s="163">
        <f t="shared" si="3"/>
        <v>-3</v>
      </c>
      <c r="V24" s="168">
        <f t="shared" si="0"/>
        <v>-4800</v>
      </c>
      <c r="W24" s="172">
        <v>1191.49</v>
      </c>
      <c r="X24" s="177">
        <v>1600</v>
      </c>
      <c r="Y24" s="183">
        <f t="shared" si="2"/>
        <v>-3574.4700000000003</v>
      </c>
    </row>
    <row r="25" spans="1:25" ht="16" x14ac:dyDescent="0.2">
      <c r="A25" s="2">
        <v>24</v>
      </c>
      <c r="B25" s="70" t="s">
        <v>23</v>
      </c>
      <c r="C25" s="8" t="s">
        <v>93</v>
      </c>
      <c r="D25" s="25" t="s">
        <v>203</v>
      </c>
      <c r="E25" s="25" t="s">
        <v>170</v>
      </c>
      <c r="F25" s="65" t="s">
        <v>205</v>
      </c>
      <c r="G25" s="24" t="s">
        <v>204</v>
      </c>
      <c r="H25" s="25" t="s">
        <v>206</v>
      </c>
      <c r="I25" s="41" t="s">
        <v>120</v>
      </c>
      <c r="J25" s="40" t="s">
        <v>23</v>
      </c>
      <c r="K25" s="36">
        <v>45639</v>
      </c>
      <c r="L25" s="21">
        <v>0.58333333333333337</v>
      </c>
      <c r="P25" s="113"/>
      <c r="Q25" s="118" t="s">
        <v>8</v>
      </c>
      <c r="R25" s="79">
        <v>11</v>
      </c>
      <c r="S25" s="158">
        <v>1</v>
      </c>
      <c r="T25" s="159">
        <v>3</v>
      </c>
      <c r="U25" s="160">
        <f t="shared" si="3"/>
        <v>-2</v>
      </c>
      <c r="V25" s="167">
        <f t="shared" si="0"/>
        <v>-3200</v>
      </c>
      <c r="W25" s="171">
        <v>1191.49</v>
      </c>
      <c r="X25" s="176">
        <v>1600</v>
      </c>
      <c r="Y25" s="182">
        <f t="shared" si="2"/>
        <v>-2382.98</v>
      </c>
    </row>
    <row r="26" spans="1:25" ht="16" x14ac:dyDescent="0.2">
      <c r="A26" s="2">
        <v>25</v>
      </c>
      <c r="B26" s="70" t="s">
        <v>11</v>
      </c>
      <c r="C26" s="8" t="s">
        <v>92</v>
      </c>
      <c r="D26" s="25" t="s">
        <v>60</v>
      </c>
      <c r="E26" s="25" t="s">
        <v>171</v>
      </c>
      <c r="F26" s="65" t="s">
        <v>61</v>
      </c>
      <c r="G26" s="24" t="s">
        <v>62</v>
      </c>
      <c r="H26" s="25" t="s">
        <v>208</v>
      </c>
      <c r="I26" s="42" t="s">
        <v>121</v>
      </c>
      <c r="J26" s="43" t="s">
        <v>11</v>
      </c>
      <c r="K26" s="36">
        <v>45639</v>
      </c>
      <c r="L26" s="21">
        <v>0.41666666666666669</v>
      </c>
      <c r="P26" s="113"/>
      <c r="Q26" s="120" t="s">
        <v>114</v>
      </c>
      <c r="R26" s="79">
        <v>12</v>
      </c>
      <c r="S26" s="161">
        <v>0</v>
      </c>
      <c r="T26" s="162">
        <v>3</v>
      </c>
      <c r="U26" s="163">
        <f t="shared" si="3"/>
        <v>-3</v>
      </c>
      <c r="V26" s="168">
        <f t="shared" si="0"/>
        <v>-4800</v>
      </c>
      <c r="W26" s="172">
        <v>1191.49</v>
      </c>
      <c r="X26" s="177">
        <v>1600</v>
      </c>
      <c r="Y26" s="183">
        <f t="shared" si="2"/>
        <v>-3574.4700000000003</v>
      </c>
    </row>
    <row r="27" spans="1:25" ht="16" x14ac:dyDescent="0.2">
      <c r="A27" s="2">
        <v>26</v>
      </c>
      <c r="B27" s="70" t="s">
        <v>87</v>
      </c>
      <c r="C27" s="8" t="s">
        <v>90</v>
      </c>
      <c r="D27" s="25" t="s">
        <v>59</v>
      </c>
      <c r="E27" s="25" t="s">
        <v>153</v>
      </c>
      <c r="F27" s="63" t="s">
        <v>58</v>
      </c>
      <c r="G27" s="24" t="s">
        <v>74</v>
      </c>
      <c r="H27" s="25" t="s">
        <v>209</v>
      </c>
      <c r="I27" s="41" t="s">
        <v>120</v>
      </c>
      <c r="J27" s="40" t="s">
        <v>87</v>
      </c>
      <c r="K27" s="36">
        <v>45632</v>
      </c>
      <c r="L27" s="21">
        <v>0.625</v>
      </c>
      <c r="P27" s="112"/>
      <c r="Q27" s="118" t="s">
        <v>131</v>
      </c>
      <c r="R27" s="93"/>
      <c r="S27" s="158">
        <v>1</v>
      </c>
      <c r="T27" s="159">
        <v>3</v>
      </c>
      <c r="U27" s="160">
        <f t="shared" si="3"/>
        <v>-2</v>
      </c>
      <c r="V27" s="167">
        <f t="shared" si="0"/>
        <v>-3200</v>
      </c>
      <c r="W27" s="171">
        <v>1191.49</v>
      </c>
      <c r="X27" s="176">
        <v>1600</v>
      </c>
      <c r="Y27" s="182">
        <f t="shared" si="2"/>
        <v>-2382.98</v>
      </c>
    </row>
    <row r="28" spans="1:25" ht="16" x14ac:dyDescent="0.2">
      <c r="A28" s="2">
        <v>27</v>
      </c>
      <c r="B28" s="70" t="s">
        <v>114</v>
      </c>
      <c r="C28" s="8" t="s">
        <v>88</v>
      </c>
      <c r="D28" s="25" t="s">
        <v>116</v>
      </c>
      <c r="E28" s="25" t="s">
        <v>172</v>
      </c>
      <c r="F28" s="67" t="s">
        <v>130</v>
      </c>
      <c r="G28" s="24" t="s">
        <v>113</v>
      </c>
      <c r="H28" s="25" t="s">
        <v>210</v>
      </c>
      <c r="I28" s="42" t="s">
        <v>121</v>
      </c>
      <c r="J28" s="43" t="s">
        <v>114</v>
      </c>
      <c r="K28" s="36">
        <v>45638</v>
      </c>
      <c r="L28" s="21">
        <v>0.625</v>
      </c>
      <c r="P28" s="113"/>
      <c r="Q28" s="121" t="s">
        <v>174</v>
      </c>
      <c r="R28" s="93"/>
      <c r="S28" s="140"/>
      <c r="T28" s="94"/>
      <c r="U28" s="95"/>
      <c r="V28" s="169"/>
      <c r="W28" s="171">
        <v>1191.49</v>
      </c>
      <c r="X28" s="179"/>
      <c r="Y28" s="185">
        <f t="shared" si="2"/>
        <v>0</v>
      </c>
    </row>
    <row r="29" spans="1:25" ht="16" x14ac:dyDescent="0.2">
      <c r="A29" s="2">
        <v>28</v>
      </c>
      <c r="B29" s="70" t="s">
        <v>131</v>
      </c>
      <c r="C29" s="8" t="s">
        <v>107</v>
      </c>
      <c r="D29" s="23" t="s">
        <v>132</v>
      </c>
      <c r="E29" s="23"/>
      <c r="F29" s="64" t="s">
        <v>133</v>
      </c>
      <c r="G29" s="44" t="s">
        <v>134</v>
      </c>
      <c r="H29" s="23" t="s">
        <v>213</v>
      </c>
      <c r="I29" s="41" t="s">
        <v>120</v>
      </c>
      <c r="J29" s="45" t="s">
        <v>131</v>
      </c>
      <c r="K29" s="37"/>
      <c r="L29" s="20"/>
      <c r="P29" s="111">
        <v>12</v>
      </c>
      <c r="Q29" s="139" t="s">
        <v>13</v>
      </c>
      <c r="R29" s="78"/>
      <c r="S29" s="154">
        <v>5</v>
      </c>
      <c r="T29" s="151">
        <v>3</v>
      </c>
      <c r="U29" s="155"/>
      <c r="V29" s="166">
        <f>U29*X29</f>
        <v>0</v>
      </c>
      <c r="W29" s="173">
        <v>1191.49</v>
      </c>
      <c r="X29" s="178">
        <v>1600</v>
      </c>
      <c r="Y29" s="184">
        <f t="shared" si="2"/>
        <v>0</v>
      </c>
    </row>
    <row r="30" spans="1:25" ht="16" x14ac:dyDescent="0.2">
      <c r="A30" s="2">
        <v>29</v>
      </c>
      <c r="B30" s="73" t="s">
        <v>174</v>
      </c>
      <c r="C30" s="8" t="s">
        <v>89</v>
      </c>
      <c r="D30" s="23" t="s">
        <v>115</v>
      </c>
      <c r="E30" s="23" t="s">
        <v>173</v>
      </c>
      <c r="F30" s="64" t="s">
        <v>117</v>
      </c>
      <c r="G30" s="44" t="s">
        <v>118</v>
      </c>
      <c r="H30" s="23" t="s">
        <v>212</v>
      </c>
      <c r="I30" s="42" t="s">
        <v>121</v>
      </c>
      <c r="J30" s="46" t="s">
        <v>174</v>
      </c>
      <c r="K30" s="37"/>
      <c r="L30" s="20"/>
      <c r="P30" s="113"/>
      <c r="Q30" s="120" t="s">
        <v>23</v>
      </c>
      <c r="R30" s="79">
        <v>13</v>
      </c>
      <c r="S30" s="161">
        <v>0</v>
      </c>
      <c r="T30" s="162">
        <v>3</v>
      </c>
      <c r="U30" s="163">
        <f t="shared" si="3"/>
        <v>-3</v>
      </c>
      <c r="V30" s="168">
        <f>U30*X30</f>
        <v>-4800</v>
      </c>
      <c r="W30" s="172">
        <v>1191.49</v>
      </c>
      <c r="X30" s="177">
        <v>1600</v>
      </c>
      <c r="Y30" s="183">
        <f t="shared" si="2"/>
        <v>-3574.4700000000003</v>
      </c>
    </row>
    <row r="31" spans="1:25" ht="17" thickBot="1" x14ac:dyDescent="0.25">
      <c r="A31" s="2">
        <v>30</v>
      </c>
      <c r="B31" s="71" t="s">
        <v>214</v>
      </c>
      <c r="C31" s="9" t="s">
        <v>136</v>
      </c>
      <c r="D31" s="27" t="s">
        <v>137</v>
      </c>
      <c r="E31" s="27"/>
      <c r="F31" s="68" t="s">
        <v>139</v>
      </c>
      <c r="G31" s="47" t="s">
        <v>138</v>
      </c>
      <c r="H31" s="27"/>
      <c r="I31" s="42" t="s">
        <v>121</v>
      </c>
      <c r="J31" s="69" t="s">
        <v>215</v>
      </c>
      <c r="K31" s="38"/>
      <c r="L31" s="22"/>
      <c r="P31" s="113"/>
      <c r="Q31" s="120" t="s">
        <v>11</v>
      </c>
      <c r="R31" s="79">
        <v>14</v>
      </c>
      <c r="S31" s="161">
        <v>0</v>
      </c>
      <c r="T31" s="165">
        <v>3</v>
      </c>
      <c r="U31" s="163">
        <f t="shared" si="3"/>
        <v>-3</v>
      </c>
      <c r="V31" s="168">
        <f>U31*X31</f>
        <v>-4800</v>
      </c>
      <c r="W31" s="174">
        <v>1191.49</v>
      </c>
      <c r="X31" s="180">
        <v>1600</v>
      </c>
      <c r="Y31" s="186">
        <f t="shared" si="2"/>
        <v>-3574.4700000000003</v>
      </c>
    </row>
    <row r="32" spans="1:25" ht="20" thickBot="1" x14ac:dyDescent="0.3">
      <c r="I32" s="17">
        <v>29</v>
      </c>
      <c r="P32" s="114"/>
      <c r="Q32" s="122"/>
      <c r="R32" s="91"/>
      <c r="S32" s="92"/>
      <c r="T32" s="80"/>
      <c r="U32" s="85"/>
      <c r="V32" s="84"/>
      <c r="W32" s="90"/>
      <c r="X32" s="88"/>
      <c r="Y32" s="106"/>
    </row>
    <row r="33" spans="2:25" ht="20" thickBot="1" x14ac:dyDescent="0.3">
      <c r="I33" s="11" t="s">
        <v>120</v>
      </c>
      <c r="J33" s="12">
        <v>20</v>
      </c>
      <c r="K33" s="13">
        <f>J33/I32</f>
        <v>0.68965517241379315</v>
      </c>
      <c r="P33" s="101">
        <f>R33/R36</f>
        <v>0.41379310344827586</v>
      </c>
      <c r="Q33" s="105" t="s">
        <v>219</v>
      </c>
      <c r="R33" s="127">
        <v>12</v>
      </c>
      <c r="S33" s="97">
        <f>SUM(S2:S32)</f>
        <v>52</v>
      </c>
      <c r="T33" s="98">
        <v>87</v>
      </c>
      <c r="U33" s="82">
        <f>SUM(U2:U32)</f>
        <v>-47</v>
      </c>
      <c r="V33" s="128">
        <f>SUM(V2:V32)</f>
        <v>-75200</v>
      </c>
      <c r="W33" s="129">
        <f>U36</f>
        <v>1191.4893617021276</v>
      </c>
      <c r="X33" s="96">
        <v>1600</v>
      </c>
      <c r="Y33" s="144">
        <v>-72000</v>
      </c>
    </row>
    <row r="34" spans="2:25" ht="20" thickBot="1" x14ac:dyDescent="0.3">
      <c r="D34"/>
      <c r="E34"/>
      <c r="H34"/>
      <c r="I34" s="14" t="s">
        <v>121</v>
      </c>
      <c r="J34" s="15">
        <v>10</v>
      </c>
      <c r="K34" s="16">
        <f>J34/I32</f>
        <v>0.34482758620689657</v>
      </c>
      <c r="P34" s="102">
        <f>R34/R36</f>
        <v>0.48275862068965519</v>
      </c>
      <c r="Q34" s="104" t="s">
        <v>220</v>
      </c>
      <c r="R34" s="103">
        <v>14</v>
      </c>
      <c r="T34" s="99">
        <f>S33-T33</f>
        <v>-35</v>
      </c>
      <c r="U34" s="86"/>
      <c r="V34" s="123"/>
      <c r="W34" s="123"/>
      <c r="Y34" s="145"/>
    </row>
    <row r="35" spans="2:25" ht="25" thickBot="1" x14ac:dyDescent="0.3">
      <c r="B35" s="52"/>
      <c r="I35" s="53"/>
      <c r="J35" s="54"/>
      <c r="K35" s="55"/>
      <c r="P35" s="100">
        <f>R35/R36</f>
        <v>0.10344827586206896</v>
      </c>
      <c r="Q35" s="130" t="s">
        <v>232</v>
      </c>
      <c r="R35" s="131">
        <v>3</v>
      </c>
      <c r="S35" s="132">
        <f>S33*X33</f>
        <v>83200</v>
      </c>
      <c r="T35" s="133">
        <f>T36</f>
        <v>139200</v>
      </c>
      <c r="U35" s="134">
        <f>S35-T35</f>
        <v>-56000</v>
      </c>
      <c r="X35" s="107"/>
      <c r="Y35" s="146" t="s">
        <v>234</v>
      </c>
    </row>
    <row r="36" spans="2:25" ht="25" thickBot="1" x14ac:dyDescent="0.25">
      <c r="B36" s="56"/>
      <c r="P36" s="75">
        <v>87</v>
      </c>
      <c r="Q36" s="135" t="s">
        <v>222</v>
      </c>
      <c r="R36" s="135">
        <f>SUM(R33:R35)</f>
        <v>29</v>
      </c>
      <c r="S36" s="136">
        <v>29</v>
      </c>
      <c r="T36" s="137">
        <f>T33*X33</f>
        <v>139200</v>
      </c>
      <c r="U36" s="138">
        <f>U35/U33</f>
        <v>1191.4893617021276</v>
      </c>
      <c r="V36" s="124"/>
      <c r="W36" s="124"/>
      <c r="X36" s="108"/>
      <c r="Y36" s="147" t="s">
        <v>223</v>
      </c>
    </row>
    <row r="37" spans="2:25" ht="25" thickBot="1" x14ac:dyDescent="0.25">
      <c r="B37" s="52"/>
      <c r="C37" s="57"/>
      <c r="D37" s="57"/>
      <c r="E37" s="57"/>
      <c r="F37" s="58"/>
      <c r="G37" s="57"/>
      <c r="H37" s="57"/>
      <c r="I37" s="57"/>
      <c r="J37" s="57"/>
      <c r="K37" s="59"/>
      <c r="L37" s="59"/>
      <c r="Q37" s="141" t="s">
        <v>233</v>
      </c>
      <c r="R37" s="142"/>
      <c r="S37" s="143">
        <v>3</v>
      </c>
      <c r="T37" s="125"/>
      <c r="U37" s="126"/>
      <c r="V37" s="126"/>
      <c r="W37" s="126"/>
      <c r="X37" s="109"/>
      <c r="Y37" s="148" t="s">
        <v>235</v>
      </c>
    </row>
    <row r="38" spans="2:25" ht="24" x14ac:dyDescent="0.2">
      <c r="B38" s="52"/>
      <c r="C38" s="60"/>
      <c r="D38" s="60"/>
      <c r="E38" s="60"/>
      <c r="F38" s="61"/>
      <c r="G38" s="52"/>
      <c r="H38" s="60"/>
      <c r="I38" s="60"/>
      <c r="J38" s="60"/>
      <c r="K38" s="62"/>
      <c r="L38" s="62"/>
    </row>
  </sheetData>
  <sortState xmlns:xlrd2="http://schemas.microsoft.com/office/spreadsheetml/2017/richdata2" ref="Q2:Q31">
    <sortCondition ref="Q2:Q31"/>
  </sortState>
  <phoneticPr fontId="8" type="noConversion"/>
  <hyperlinks>
    <hyperlink ref="F17" r:id="rId1" xr:uid="{9FBB118E-D446-3E4E-8548-3573ADBB6CA0}"/>
    <hyperlink ref="F2" r:id="rId2" xr:uid="{18B09D0C-E4A2-954C-AAA0-15B5DA758CDC}"/>
    <hyperlink ref="F23" r:id="rId3" xr:uid="{DE12FFE2-2097-CB45-BB63-6565FCE6F3C9}"/>
    <hyperlink ref="F25" r:id="rId4" xr:uid="{F01886F8-704B-B943-86E7-446C48F950CB}"/>
    <hyperlink ref="F8" r:id="rId5" xr:uid="{794518E1-F145-2042-8EAC-BB345986783B}"/>
    <hyperlink ref="F26" r:id="rId6" xr:uid="{20F3BF5C-5287-E94D-8B4F-349BF57E5BA1}"/>
    <hyperlink ref="F21" r:id="rId7" xr:uid="{4B681B0B-2CC1-9447-AB9B-CDBC29D004F2}"/>
    <hyperlink ref="F28" r:id="rId8" xr:uid="{AE284A67-AC53-6A42-AB66-3D911A074CCA}"/>
    <hyperlink ref="F6" r:id="rId9" xr:uid="{003601B5-5F8D-FF4A-9356-8907BFDDF185}"/>
    <hyperlink ref="F10" r:id="rId10" xr:uid="{0C9B24BF-6DAF-4E8B-B8B7-B7691025BFF4}"/>
    <hyperlink ref="F11" r:id="rId11" xr:uid="{60C6F863-D1DF-4456-B116-47C27DA32B74}"/>
    <hyperlink ref="F13" r:id="rId12" xr:uid="{66BC9BB2-D665-411C-B32E-4A3102FA5ED8}"/>
    <hyperlink ref="F24" r:id="rId13" xr:uid="{78601CCE-A7B1-2B41-AAF8-11F6A16FFA21}"/>
    <hyperlink ref="F19" r:id="rId14" xr:uid="{792FD393-FEE2-4ACA-BC35-9C56E6AD6264}"/>
    <hyperlink ref="F20" r:id="rId15" xr:uid="{5E2DFDA7-9AC1-F046-934E-B0359588FC33}"/>
  </hyperlinks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F6EEB-13BC-42EB-8C11-B399DA50081F}">
  <dimension ref="A1:A5"/>
  <sheetViews>
    <sheetView workbookViewId="0">
      <selection sqref="A1:A5"/>
    </sheetView>
  </sheetViews>
  <sheetFormatPr baseColWidth="10" defaultColWidth="8.83203125" defaultRowHeight="15" x14ac:dyDescent="0.2"/>
  <cols>
    <col min="1" max="1" width="13.33203125" bestFit="1" customWidth="1"/>
  </cols>
  <sheetData>
    <row r="1" spans="1:1" x14ac:dyDescent="0.2">
      <c r="A1" t="s">
        <v>12</v>
      </c>
    </row>
    <row r="2" spans="1:1" x14ac:dyDescent="0.2">
      <c r="A2" s="2">
        <v>1</v>
      </c>
    </row>
    <row r="3" spans="1:1" x14ac:dyDescent="0.2">
      <c r="A3" s="2">
        <v>2</v>
      </c>
    </row>
    <row r="4" spans="1:1" x14ac:dyDescent="0.2">
      <c r="A4" s="2">
        <v>3</v>
      </c>
    </row>
    <row r="5" spans="1:1" x14ac:dyDescent="0.2">
      <c r="A5" s="2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MFR SANTA CATARINA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Qualidade</dc:creator>
  <cp:lastModifiedBy>Acram Rajab</cp:lastModifiedBy>
  <dcterms:created xsi:type="dcterms:W3CDTF">2022-03-15T17:19:18Z</dcterms:created>
  <dcterms:modified xsi:type="dcterms:W3CDTF">2025-12-01T17:19:32Z</dcterms:modified>
</cp:coreProperties>
</file>